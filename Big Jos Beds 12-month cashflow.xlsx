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Slow case" sheetId="3" state="visible" r:id="rId5"/>
    <sheet name="Base case" sheetId="4" state="visible" r:id="rId6"/>
    <sheet name="Target cas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<sst xmlns="http://schemas.openxmlformats.org/spreadsheetml/2006/main" count="280" uniqueCount="169">
  <si>
    <t xml:space="preserve">Big Jo's Beds: 12-month bootstrap cashflow plan</t>
  </si>
  <si>
    <t xml:space="preserve">Side hustle with no salary. Customers pay upfront and PBS builds to order in 3-5 days, so there is no stock to fund: the cash need is launch costs plus marketing until sales cover them.</t>
  </si>
  <si>
    <t xml:space="preserve">Plan runs Oct 2026 to Sep 2027. Change the blue inputs on the Assumptions sheet; everything here recalculates.</t>
  </si>
  <si>
    <t xml:space="preserve">Metric</t>
  </si>
  <si>
    <t xml:space="preserve">Slow</t>
  </si>
  <si>
    <t xml:space="preserve">Base</t>
  </si>
  <si>
    <t xml:space="preserve">Target</t>
  </si>
  <si>
    <t xml:space="preserve">Sets sold</t>
  </si>
  <si>
    <t xml:space="preserve">Sales (bed sets and bedding)</t>
  </si>
  <si>
    <t xml:space="preserve">Refunds on returns</t>
  </si>
  <si>
    <t xml:space="preserve">Gross contribution</t>
  </si>
  <si>
    <t xml:space="preserve">Gross contribution per set</t>
  </si>
  <si>
    <t xml:space="preserve">Marketing</t>
  </si>
  <si>
    <t xml:space="preserve">Marketing per set sold</t>
  </si>
  <si>
    <t xml:space="preserve">Fixed running costs</t>
  </si>
  <si>
    <t xml:space="preserve">One-off launch costs</t>
  </si>
  <si>
    <t xml:space="preserve">VAT paid to SARS</t>
  </si>
  <si>
    <t xml:space="preserve">Net cash generated in 12 months</t>
  </si>
  <si>
    <t xml:space="preserve">Peak founder cash needed</t>
  </si>
  <si>
    <t xml:space="preserve">Lowest cash balance (after your injection)</t>
  </si>
  <si>
    <t xml:space="preserve">Cash in the bank, Sep 2027</t>
  </si>
  <si>
    <t xml:space="preserve">Cumulative cash turns positive in</t>
  </si>
  <si>
    <t xml:space="preserve">VAT registration needed from</t>
  </si>
  <si>
    <t xml:space="preserve">Sets a month needed to cover full-rate marketing and fixed costs</t>
  </si>
  <si>
    <t xml:space="preserve">Uses Sep 2027 marketing and the contribution per set on the Assumptions sheet</t>
  </si>
  <si>
    <t xml:space="preserve">Cash in the bank at month end</t>
  </si>
  <si>
    <t xml:space="preserve">Month</t>
  </si>
  <si>
    <t xml:space="preserve">Big Jo's Beds: assumptions</t>
  </si>
  <si>
    <t xml:space="preserve">Blue = input you can change. Yellow fill = key assumption. Black = formula. All rand amounts include VAT.</t>
  </si>
  <si>
    <t xml:space="preserve">Pricing</t>
  </si>
  <si>
    <t xml:space="preserve">Launch price per set (mattress + base)</t>
  </si>
  <si>
    <t xml:space="preserve">Recommended launch price: reports/Big Jos Beds pricing and competition.md</t>
  </si>
  <si>
    <t xml:space="preserve">Step-up price per set</t>
  </si>
  <si>
    <t xml:space="preserve">Report: step up once the 250 kg test and ~50 reviews are in</t>
  </si>
  <si>
    <t xml:space="preserve">Step-up from month #</t>
  </si>
  <si>
    <t xml:space="preserve">13 = no step-up inside this plan. Set 1-12 to test it.</t>
  </si>
  <si>
    <t xml:space="preserve">Bedding add-on: share of buyers</t>
  </si>
  <si>
    <t xml:space="preserve">Estimate: buyers who also buy an extra sheet set</t>
  </si>
  <si>
    <t xml:space="preserve">Bedding add-on price</t>
  </si>
  <si>
    <t xml:space="preserve">Estimate</t>
  </si>
  <si>
    <t xml:space="preserve">Bedding add-on cost</t>
  </si>
  <si>
    <t xml:space="preserve">Estimate. Custom sheets are quote-only (Falucca, Bedworld, Linen and Co)</t>
  </si>
  <si>
    <t xml:space="preserve">Cost per set</t>
  </si>
  <si>
    <t xml:space="preserve">PBS mattress, 160 x 210</t>
  </si>
  <si>
    <t xml:space="preserve">PBS quote QUO0010447, 6 Oct 2026 (single unit)</t>
  </si>
  <si>
    <t xml:space="preserve">PBS heavy-duty base, 160 x 210</t>
  </si>
  <si>
    <t xml:space="preserve">Volume discount from PBS</t>
  </si>
  <si>
    <t xml:space="preserve">Not quoted yet. Ask Gary for 10 and 20 sets a month</t>
  </si>
  <si>
    <t xml:space="preserve">Delivery and white-glove setup</t>
  </si>
  <si>
    <t xml:space="preserve">PBS lists R450 delivery within 55 km</t>
  </si>
  <si>
    <t xml:space="preserve">Old-bed removal and disposal</t>
  </si>
  <si>
    <t xml:space="preserve">Custom bedding in the box (fitted sheet + protector)</t>
  </si>
  <si>
    <t xml:space="preserve">Estimate. Get quotes for 160 x 210 x ~28 cm</t>
  </si>
  <si>
    <t xml:space="preserve">Packaging, spec and warranty card</t>
  </si>
  <si>
    <t xml:space="preserve">Payment fees (card and pay-later), % of receipts</t>
  </si>
  <si>
    <t xml:space="preserve">Estimate: blended card and PayJustNow/Payflex fees</t>
  </si>
  <si>
    <t xml:space="preserve">Warranty reserve per set (set aside)</t>
  </si>
  <si>
    <t xml:space="preserve">Estimate. Treated as cash set aside, not spent</t>
  </si>
  <si>
    <t xml:space="preserve">Return rate (100-night trial)</t>
  </si>
  <si>
    <t xml:space="preserve">Sloom reports returns under 3%. Returned custom sets assumed unsellable</t>
  </si>
  <si>
    <t xml:space="preserve">Refund paid this many months after the sale</t>
  </si>
  <si>
    <t xml:space="preserve">About 100 nights</t>
  </si>
  <si>
    <t xml:space="preserve">Collection cost per return</t>
  </si>
  <si>
    <t xml:space="preserve">Assumed equal to delivery</t>
  </si>
  <si>
    <t xml:space="preserve">Cash contribution per set, before marketing and overheads</t>
  </si>
  <si>
    <t xml:space="preserve">At launch price, before VAT registration, including the expected cost of returns and add-ons</t>
  </si>
  <si>
    <t xml:space="preserve">VAT</t>
  </si>
  <si>
    <t xml:space="preserve">VAT rate</t>
  </si>
  <si>
    <t xml:space="preserve">SARS</t>
  </si>
  <si>
    <t xml:space="preserve">Compulsory registration threshold (12-month sales)</t>
  </si>
  <si>
    <t xml:space="preserve">SARS: R2.3m from 1 Apr 2026, sars.gov.za/faq/what-is-the-new-threshold-for-vat-registration/</t>
  </si>
  <si>
    <t xml:space="preserve">Register voluntarily from month #</t>
  </si>
  <si>
    <t xml:space="preserve">13 = only register when the threshold forces it</t>
  </si>
  <si>
    <t xml:space="preserve">Founder funding</t>
  </si>
  <si>
    <t xml:space="preserve">Founder cash injection</t>
  </si>
  <si>
    <t xml:space="preserve">Your own cash. Check "Peak founder cash needed" on the Summary sheet</t>
  </si>
  <si>
    <t xml:space="preserve">Injection in month #</t>
  </si>
  <si>
    <t xml:space="preserve">Fixed monthly costs</t>
  </si>
  <si>
    <t xml:space="preserve">Item</t>
  </si>
  <si>
    <t xml:space="preserve">Rand / month</t>
  </si>
  <si>
    <t xml:space="preserve">Starts month #</t>
  </si>
  <si>
    <t xml:space="preserve">Note</t>
  </si>
  <si>
    <t xml:space="preserve">Shopify plan and apps</t>
  </si>
  <si>
    <t xml:space="preserve">Estimate (about USD 29 plan plus apps)</t>
  </si>
  <si>
    <t xml:space="preserve">Domain and email</t>
  </si>
  <si>
    <t xml:space="preserve">Bookkeeping software</t>
  </si>
  <si>
    <t xml:space="preserve">Product and public liability insurance</t>
  </si>
  <si>
    <t xml:space="preserve">Estimate. Get a quote</t>
  </si>
  <si>
    <t xml:space="preserve">Phone, WhatsApp Business and admin</t>
  </si>
  <si>
    <t xml:space="preserve">Founder salary</t>
  </si>
  <si>
    <t xml:space="preserve">Side hustle: no salary in year 1</t>
  </si>
  <si>
    <t xml:space="preserve">Total when all running</t>
  </si>
  <si>
    <t xml:space="preserve">Rand</t>
  </si>
  <si>
    <t xml:space="preserve">Month #</t>
  </si>
  <si>
    <t xml:space="preserve">Demo and photo unit (first PBS order)</t>
  </si>
  <si>
    <t xml:space="preserve">PBS quote QUO0010447</t>
  </si>
  <si>
    <t xml:space="preserve">Demo unit delivery</t>
  </si>
  <si>
    <t xml:space="preserve">PBS lists R450</t>
  </si>
  <si>
    <t xml:space="preserve">Company registration and bank account</t>
  </si>
  <si>
    <t xml:space="preserve">Estimate (CIPC)</t>
  </si>
  <si>
    <t xml:space="preserve">Trademark filing, classes 20 and 24</t>
  </si>
  <si>
    <t xml:space="preserve">Estimate, filing yourself via CIPC</t>
  </si>
  <si>
    <t xml:space="preserve">Brand identity and label design</t>
  </si>
  <si>
    <t xml:space="preserve">DIY. A freelance designer was estimated at R20,000</t>
  </si>
  <si>
    <t xml:space="preserve">Website build</t>
  </si>
  <si>
    <t xml:space="preserve">DIY on Shopify. The Shopify plan is still in fixed costs. Was R10,000</t>
  </si>
  <si>
    <t xml:space="preserve">Photo and video shoot</t>
  </si>
  <si>
    <t xml:space="preserve">DIY. Was R8,000</t>
  </si>
  <si>
    <t xml:space="preserve">Branded side-panel label setup</t>
  </si>
  <si>
    <t xml:space="preserve">Estimate. Ask PBS</t>
  </si>
  <si>
    <t xml:space="preserve">Custom bedding samples</t>
  </si>
  <si>
    <t xml:space="preserve">Launch activation (e.g. a Get Lucky golf day stand)</t>
  </si>
  <si>
    <t xml:space="preserve">250 kg durability test</t>
  </si>
  <si>
    <t xml:space="preserve">DIY, so not independent proof. An SABS or university lab test was estimated at R25,000</t>
  </si>
  <si>
    <t xml:space="preserve">Total</t>
  </si>
  <si>
    <t xml:space="preserve">Monthly inputs</t>
  </si>
  <si>
    <t xml:space="preserve">Oct 2026</t>
  </si>
  <si>
    <t xml:space="preserve">Nov 2026</t>
  </si>
  <si>
    <t xml:space="preserve">Dec 2026</t>
  </si>
  <si>
    <t xml:space="preserve">Jan 2027</t>
  </si>
  <si>
    <t xml:space="preserve">Feb 2027</t>
  </si>
  <si>
    <t xml:space="preserve">Mar 2027</t>
  </si>
  <si>
    <t xml:space="preserve">Apr 2027</t>
  </si>
  <si>
    <t xml:space="preserve">May 2027</t>
  </si>
  <si>
    <t xml:space="preserve">Jun 2027</t>
  </si>
  <si>
    <t xml:space="preserve">Jul 2027</t>
  </si>
  <si>
    <t xml:space="preserve">Aug 2027</t>
  </si>
  <si>
    <t xml:space="preserve">Sep 2027</t>
  </si>
  <si>
    <t xml:space="preserve">Marketing spend (R)</t>
  </si>
  <si>
    <t xml:space="preserve">Sets sold per month</t>
  </si>
  <si>
    <t xml:space="preserve">1. Slow</t>
  </si>
  <si>
    <t xml:space="preserve">2. Base</t>
  </si>
  <si>
    <t xml:space="preserve">3. Target</t>
  </si>
  <si>
    <t xml:space="preserve">Sales start in Nov 2026 once the demo unit is photographed. Marketing is the same in every scenario, so the Slow case shows the downside of spending the same and selling less.</t>
  </si>
  <si>
    <t xml:space="preserve">Big Jo's Beds: 12-month cashflow, slow case</t>
  </si>
  <si>
    <t xml:space="preserve">Scenario # (1 Slow, 2 Base, 3 Target)</t>
  </si>
  <si>
    <t xml:space="preserve">All figures in rand incl. VAT. Inflows positive, outflows in brackets.</t>
  </si>
  <si>
    <t xml:space="preserve">12 months</t>
  </si>
  <si>
    <t xml:space="preserve">Price per set</t>
  </si>
  <si>
    <t xml:space="preserve">Cash in</t>
  </si>
  <si>
    <t xml:space="preserve">Bed set sales</t>
  </si>
  <si>
    <t xml:space="preserve">Bedding add-ons</t>
  </si>
  <si>
    <t xml:space="preserve">Total cash in</t>
  </si>
  <si>
    <t xml:space="preserve">Cost of each sale</t>
  </si>
  <si>
    <t xml:space="preserve">PBS mattress and base</t>
  </si>
  <si>
    <t xml:space="preserve">Delivery and setup</t>
  </si>
  <si>
    <t xml:space="preserve">Old-bed removal</t>
  </si>
  <si>
    <t xml:space="preserve">Bedding in the box</t>
  </si>
  <si>
    <t xml:space="preserve">Packaging and cards</t>
  </si>
  <si>
    <t xml:space="preserve">Collecting returned sets</t>
  </si>
  <si>
    <t xml:space="preserve">Payment fees</t>
  </si>
  <si>
    <t xml:space="preserve">Warranty reserve (set aside)</t>
  </si>
  <si>
    <t xml:space="preserve">Total cost of sales</t>
  </si>
  <si>
    <t xml:space="preserve">Overheads and launch</t>
  </si>
  <si>
    <t xml:space="preserve">VAT paid to SARS (net)</t>
  </si>
  <si>
    <t xml:space="preserve">Total overheads and launch</t>
  </si>
  <si>
    <t xml:space="preserve">Net cash flow</t>
  </si>
  <si>
    <t xml:space="preserve">Opening cash</t>
  </si>
  <si>
    <t xml:space="preserve">Closing cash</t>
  </si>
  <si>
    <t xml:space="preserve">Checks and helpers</t>
  </si>
  <si>
    <t xml:space="preserve">Cumulative net cash flow (before injection)</t>
  </si>
  <si>
    <t xml:space="preserve">Cumulative sales (VAT turnover)</t>
  </si>
  <si>
    <t xml:space="preserve">Over VAT threshold? (1 = yes)</t>
  </si>
  <si>
    <t xml:space="preserve">Cumulative cash positive? (1 = yes)</t>
  </si>
  <si>
    <t xml:space="preserve">VAT applies from month #</t>
  </si>
  <si>
    <t xml:space="preserve">Month after cumulative sales pass the threshold, or the voluntary month if earlier. 13 = not in this plan.</t>
  </si>
  <si>
    <t xml:space="preserve">Simplifications: refunds for sales in the last 3 months fall after this plan. VAT is paid in the month it arises (SARS works in two-month periods) and only claims input VAT on cost of sales. No income tax is included.</t>
  </si>
  <si>
    <t xml:space="preserve">Big Jo's Beds: 12-month cashflow, base case</t>
  </si>
  <si>
    <t xml:space="preserve">Big Jo's Beds: 12-month cashflow, target case</t>
  </si>
</sst>
</file>

<file path=xl/styles.xml><?xml version="1.0" encoding="utf-8"?>
<styleSheet xmlns="http://schemas.openxmlformats.org/spreadsheetml/2006/main">
  <numFmts count="7">
    <numFmt numFmtId="164" formatCode="General"/>
    <numFmt numFmtId="165" formatCode="#,##0;\(#,##0\);\-"/>
    <numFmt numFmtId="166" formatCode="&quot;R &quot;#,##0;&quot;(R &quot;#,##0\);\-"/>
    <numFmt numFmtId="167" formatCode="@"/>
    <numFmt numFmtId="168" formatCode="#,##0.0;\(#,##0.0\);\-"/>
    <numFmt numFmtId="169" formatCode="0"/>
    <numFmt numFmtId="170" formatCode="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sz val="10"/>
      <color rgb="FF008000"/>
      <name val="Arial"/>
      <family val="0"/>
      <charset val="1"/>
    </font>
    <font>
      <b val="true"/>
      <sz val="10"/>
      <name val="Arial"/>
      <family val="0"/>
      <charset val="1"/>
    </font>
    <font>
      <b val="true"/>
      <sz val="10"/>
      <color rgb="FF008000"/>
      <name val="Arial"/>
      <family val="0"/>
      <charset val="1"/>
    </font>
    <font>
      <sz val="10"/>
      <color rgb="FF0000FF"/>
      <name val="Arial"/>
      <family val="0"/>
      <charset val="1"/>
    </font>
  </fonts>
  <fills count="5">
    <fill>
      <patternFill patternType="none"/>
    </fill>
    <fill>
      <patternFill patternType="gray125"/>
    </fill>
    <fill>
      <patternFill patternType="solid">
        <fgColor rgb="FF1F2937"/>
        <bgColor rgb="FF333300"/>
      </patternFill>
    </fill>
    <fill>
      <patternFill patternType="solid">
        <fgColor rgb="FFF2F2F2"/>
        <bgColor rgb="FFFF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true" applyProtection="false">
      <alignment horizontal="right"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11"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0" fontId="11" fillId="4"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4" min="2" style="0" width="16"/>
    <col collapsed="false" customWidth="true" hidden="false" outlineLevel="0" max="13" min="5" style="0" width="1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c r="B5" s="4" t="s">
        <v>4</v>
      </c>
      <c r="C5" s="4" t="s">
        <v>5</v>
      </c>
      <c r="D5" s="4" t="s">
        <v>6</v>
      </c>
    </row>
    <row r="6" customFormat="false" ht="15" hidden="false" customHeight="false" outlineLevel="0" collapsed="false">
      <c r="A6" s="5" t="s">
        <v>7</v>
      </c>
      <c r="B6" s="6" t="n">
        <f aca="false">'Slow case'!B6</f>
        <v>23</v>
      </c>
      <c r="C6" s="6" t="n">
        <f aca="false">'Base case'!B6</f>
        <v>57</v>
      </c>
      <c r="D6" s="6" t="n">
        <f aca="false">'Target case'!B6</f>
        <v>122</v>
      </c>
    </row>
    <row r="7" customFormat="false" ht="15" hidden="false" customHeight="false" outlineLevel="0" collapsed="false">
      <c r="A7" s="5" t="s">
        <v>8</v>
      </c>
      <c r="B7" s="7" t="n">
        <f aca="false">'Slow case'!B10+'Slow case'!B11</f>
        <v>585320.1</v>
      </c>
      <c r="C7" s="7" t="n">
        <f aca="false">'Base case'!B10+'Base case'!B11</f>
        <v>1450575.9</v>
      </c>
      <c r="D7" s="7" t="n">
        <f aca="false">'Target case'!B10+'Target case'!B11</f>
        <v>3104741.4</v>
      </c>
    </row>
    <row r="8" customFormat="false" ht="15" hidden="false" customHeight="false" outlineLevel="0" collapsed="false">
      <c r="A8" s="5" t="s">
        <v>9</v>
      </c>
      <c r="B8" s="7" t="n">
        <f aca="false">'Slow case'!B12</f>
        <v>-8999.64</v>
      </c>
      <c r="C8" s="7" t="n">
        <f aca="false">'Base case'!B12</f>
        <v>-22499.1</v>
      </c>
      <c r="D8" s="7" t="n">
        <f aca="false">'Target case'!B12</f>
        <v>-49498.02</v>
      </c>
    </row>
    <row r="9" customFormat="false" ht="15" hidden="false" customHeight="false" outlineLevel="0" collapsed="false">
      <c r="A9" s="8" t="s">
        <v>10</v>
      </c>
      <c r="B9" s="9" t="n">
        <f aca="false">'Slow case'!B27</f>
        <v>319002.2565</v>
      </c>
      <c r="C9" s="9" t="n">
        <f aca="false">'Base case'!B27</f>
        <v>790371.6435</v>
      </c>
      <c r="D9" s="9" t="n">
        <f aca="false">'Target case'!B27</f>
        <v>1690306.431</v>
      </c>
    </row>
    <row r="10" customFormat="false" ht="15" hidden="false" customHeight="false" outlineLevel="0" collapsed="false">
      <c r="A10" s="5" t="s">
        <v>11</v>
      </c>
      <c r="B10" s="7" t="n">
        <f aca="false">IF('Slow case'!B6&gt;0,'Slow case'!B27/'Slow case'!B6,0)</f>
        <v>13869.663326087</v>
      </c>
      <c r="C10" s="7" t="n">
        <f aca="false">IF('Base case'!B6&gt;0,'Base case'!B27/'Base case'!B6,0)</f>
        <v>13866.1691842105</v>
      </c>
      <c r="D10" s="7" t="n">
        <f aca="false">IF('Target case'!B6&gt;0,'Target case'!B27/'Target case'!B6,0)</f>
        <v>13854.9707459016</v>
      </c>
    </row>
    <row r="11" customFormat="false" ht="15" hidden="false" customHeight="false" outlineLevel="0" collapsed="false">
      <c r="A11" s="5" t="s">
        <v>12</v>
      </c>
      <c r="B11" s="7" t="n">
        <f aca="false">'Slow case'!B30</f>
        <v>-108000</v>
      </c>
      <c r="C11" s="7" t="n">
        <f aca="false">'Base case'!B30</f>
        <v>-108000</v>
      </c>
      <c r="D11" s="7" t="n">
        <f aca="false">'Target case'!B30</f>
        <v>-108000</v>
      </c>
    </row>
    <row r="12" customFormat="false" ht="15" hidden="false" customHeight="false" outlineLevel="0" collapsed="false">
      <c r="A12" s="5" t="s">
        <v>13</v>
      </c>
      <c r="B12" s="7" t="n">
        <f aca="false">IF('Slow case'!B6&gt;0,-'Slow case'!B30/'Slow case'!B6,0)</f>
        <v>4695.65217391304</v>
      </c>
      <c r="C12" s="7" t="n">
        <f aca="false">IF('Base case'!B6&gt;0,-'Base case'!B30/'Base case'!B6,0)</f>
        <v>1894.73684210526</v>
      </c>
      <c r="D12" s="7" t="n">
        <f aca="false">IF('Target case'!B6&gt;0,-'Target case'!B30/'Target case'!B6,0)</f>
        <v>885.245901639344</v>
      </c>
    </row>
    <row r="13" customFormat="false" ht="15" hidden="false" customHeight="false" outlineLevel="0" collapsed="false">
      <c r="A13" s="5" t="s">
        <v>14</v>
      </c>
      <c r="B13" s="7" t="n">
        <f aca="false">'Slow case'!B31</f>
        <v>-24500</v>
      </c>
      <c r="C13" s="7" t="n">
        <f aca="false">'Base case'!B31</f>
        <v>-24500</v>
      </c>
      <c r="D13" s="7" t="n">
        <f aca="false">'Target case'!B31</f>
        <v>-24500</v>
      </c>
    </row>
    <row r="14" customFormat="false" ht="15" hidden="false" customHeight="false" outlineLevel="0" collapsed="false">
      <c r="A14" s="5" t="s">
        <v>15</v>
      </c>
      <c r="B14" s="7" t="n">
        <f aca="false">'Slow case'!B32</f>
        <v>-20380</v>
      </c>
      <c r="C14" s="7" t="n">
        <f aca="false">'Base case'!B32</f>
        <v>-20380</v>
      </c>
      <c r="D14" s="7" t="n">
        <f aca="false">'Target case'!B32</f>
        <v>-20380</v>
      </c>
    </row>
    <row r="15" customFormat="false" ht="15" hidden="false" customHeight="false" outlineLevel="0" collapsed="false">
      <c r="A15" s="5" t="s">
        <v>16</v>
      </c>
      <c r="B15" s="7" t="n">
        <f aca="false">'Slow case'!B33</f>
        <v>0</v>
      </c>
      <c r="C15" s="7" t="n">
        <f aca="false">'Base case'!B33</f>
        <v>0</v>
      </c>
      <c r="D15" s="7" t="n">
        <f aca="false">'Target case'!B33</f>
        <v>-38702.8630434783</v>
      </c>
    </row>
    <row r="16" customFormat="false" ht="15" hidden="false" customHeight="false" outlineLevel="0" collapsed="false">
      <c r="A16" s="8" t="s">
        <v>17</v>
      </c>
      <c r="B16" s="9" t="n">
        <f aca="false">'Slow case'!B36</f>
        <v>166122.2565</v>
      </c>
      <c r="C16" s="9" t="n">
        <f aca="false">'Base case'!B36</f>
        <v>637491.6435</v>
      </c>
      <c r="D16" s="9" t="n">
        <f aca="false">'Target case'!B36</f>
        <v>1498723.56795652</v>
      </c>
    </row>
    <row r="17" customFormat="false" ht="15" hidden="false" customHeight="false" outlineLevel="0" collapsed="false">
      <c r="A17" s="8" t="s">
        <v>18</v>
      </c>
      <c r="B17" s="9" t="n">
        <f aca="false">MAX(0,-MIN('Slow case'!C42:N42))</f>
        <v>29262.0045</v>
      </c>
      <c r="C17" s="9" t="n">
        <f aca="false">MAX(0,-MIN('Base case'!C42:N42))</f>
        <v>12112.0045</v>
      </c>
      <c r="D17" s="9" t="n">
        <f aca="false">MAX(0,-MIN('Target case'!C42:N42))</f>
        <v>11230</v>
      </c>
    </row>
    <row r="18" customFormat="false" ht="15" hidden="false" customHeight="false" outlineLevel="0" collapsed="false">
      <c r="A18" s="5" t="s">
        <v>19</v>
      </c>
      <c r="B18" s="7" t="n">
        <f aca="false">MIN('Slow case'!C39:N39)</f>
        <v>10737.9955</v>
      </c>
      <c r="C18" s="7" t="n">
        <f aca="false">MIN('Base case'!C39:N39)</f>
        <v>27887.9955</v>
      </c>
      <c r="D18" s="7" t="n">
        <f aca="false">MIN('Target case'!C39:N39)</f>
        <v>28770</v>
      </c>
    </row>
    <row r="19" customFormat="false" ht="15" hidden="false" customHeight="false" outlineLevel="0" collapsed="false">
      <c r="A19" s="8" t="s">
        <v>20</v>
      </c>
      <c r="B19" s="9" t="n">
        <f aca="false">'Slow case'!N39</f>
        <v>206122.2565</v>
      </c>
      <c r="C19" s="9" t="n">
        <f aca="false">'Base case'!N39</f>
        <v>677491.6435</v>
      </c>
      <c r="D19" s="9" t="n">
        <f aca="false">'Target case'!N39</f>
        <v>1538723.56795652</v>
      </c>
    </row>
    <row r="20" customFormat="false" ht="15" hidden="false" customHeight="false" outlineLevel="0" collapsed="false">
      <c r="A20" s="5" t="s">
        <v>21</v>
      </c>
      <c r="B20" s="10" t="str">
        <f aca="false">IFERROR(INDEX('Slow case'!C5:N5,MATCH(1,'Slow case'!C45:N45,0)),"Not in 12 months")</f>
        <v>Apr 2027</v>
      </c>
      <c r="C20" s="10" t="str">
        <f aca="false">IFERROR(INDEX('Base case'!C5:N5,MATCH(1,'Base case'!C45:N45,0)),"Not in 12 months")</f>
        <v>Jan 2027</v>
      </c>
      <c r="D20" s="10" t="str">
        <f aca="false">IFERROR(INDEX('Target case'!C5:N5,MATCH(1,'Target case'!C45:N45,0)),"Not in 12 months")</f>
        <v>Nov 2026</v>
      </c>
    </row>
    <row r="21" customFormat="false" ht="15" hidden="false" customHeight="false" outlineLevel="0" collapsed="false">
      <c r="A21" s="5" t="s">
        <v>22</v>
      </c>
      <c r="B21" s="10" t="str">
        <f aca="false">IF('Slow case'!B46&lt;=12,INDEX('Slow case'!C5:N5,'Slow case'!B46),"Not in 12 months")</f>
        <v>Not in 12 months</v>
      </c>
      <c r="C21" s="10" t="str">
        <f aca="false">IF('Base case'!B46&lt;=12,INDEX('Base case'!C5:N5,'Base case'!B46),"Not in 12 months")</f>
        <v>Not in 12 months</v>
      </c>
      <c r="D21" s="10" t="str">
        <f aca="false">IF('Target case'!B46&lt;=12,INDEX('Target case'!C5:N5,'Target case'!B46),"Not in 12 months")</f>
        <v>Sep 2027</v>
      </c>
    </row>
    <row r="23" customFormat="false" ht="15" hidden="false" customHeight="false" outlineLevel="0" collapsed="false">
      <c r="A23" s="11" t="s">
        <v>23</v>
      </c>
      <c r="B23" s="12" t="n">
        <f aca="false">(Assumptions!N64+Assumptions!B44)/Assumptions!B25</f>
        <v>0.899698401102653</v>
      </c>
      <c r="C23" s="2" t="s">
        <v>24</v>
      </c>
    </row>
    <row r="25" customFormat="false" ht="15" hidden="false" customHeight="false" outlineLevel="0" collapsed="false">
      <c r="A25" s="3" t="s">
        <v>25</v>
      </c>
      <c r="B25" s="3"/>
      <c r="C25" s="3"/>
      <c r="D25" s="3"/>
      <c r="E25" s="3"/>
      <c r="F25" s="3"/>
      <c r="G25" s="3"/>
      <c r="H25" s="3"/>
      <c r="I25" s="3"/>
      <c r="J25" s="3"/>
      <c r="K25" s="3"/>
      <c r="L25" s="3"/>
      <c r="M25" s="3"/>
    </row>
    <row r="26" customFormat="false" ht="15" hidden="false" customHeight="false" outlineLevel="0" collapsed="false">
      <c r="A26" s="11" t="s">
        <v>26</v>
      </c>
      <c r="B26" s="13" t="str">
        <f aca="false">Assumptions!C63</f>
        <v>Oct 2026</v>
      </c>
      <c r="C26" s="13" t="str">
        <f aca="false">Assumptions!D63</f>
        <v>Nov 2026</v>
      </c>
      <c r="D26" s="13" t="str">
        <f aca="false">Assumptions!E63</f>
        <v>Dec 2026</v>
      </c>
      <c r="E26" s="13" t="str">
        <f aca="false">Assumptions!F63</f>
        <v>Jan 2027</v>
      </c>
      <c r="F26" s="13" t="str">
        <f aca="false">Assumptions!G63</f>
        <v>Feb 2027</v>
      </c>
      <c r="G26" s="13" t="str">
        <f aca="false">Assumptions!H63</f>
        <v>Mar 2027</v>
      </c>
      <c r="H26" s="13" t="str">
        <f aca="false">Assumptions!I63</f>
        <v>Apr 2027</v>
      </c>
      <c r="I26" s="13" t="str">
        <f aca="false">Assumptions!J63</f>
        <v>May 2027</v>
      </c>
      <c r="J26" s="13" t="str">
        <f aca="false">Assumptions!K63</f>
        <v>Jun 2027</v>
      </c>
      <c r="K26" s="13" t="str">
        <f aca="false">Assumptions!L63</f>
        <v>Jul 2027</v>
      </c>
      <c r="L26" s="13" t="str">
        <f aca="false">Assumptions!M63</f>
        <v>Aug 2027</v>
      </c>
      <c r="M26" s="13" t="str">
        <f aca="false">Assumptions!N63</f>
        <v>Sep 2027</v>
      </c>
    </row>
    <row r="27" customFormat="false" ht="15" hidden="false" customHeight="false" outlineLevel="0" collapsed="false">
      <c r="A27" s="5" t="s">
        <v>4</v>
      </c>
      <c r="B27" s="14" t="n">
        <f aca="false">'Slow case'!C39</f>
        <v>28770</v>
      </c>
      <c r="C27" s="14" t="n">
        <f aca="false">'Slow case'!D39</f>
        <v>13620</v>
      </c>
      <c r="D27" s="14" t="n">
        <f aca="false">'Slow case'!E39</f>
        <v>10737.9955</v>
      </c>
      <c r="E27" s="14" t="n">
        <f aca="false">'Slow case'!F39</f>
        <v>12855.991</v>
      </c>
      <c r="F27" s="14" t="n">
        <f aca="false">'Slow case'!G39</f>
        <v>14973.9865</v>
      </c>
      <c r="G27" s="14" t="n">
        <f aca="false">'Slow case'!H39</f>
        <v>30596.5075</v>
      </c>
      <c r="H27" s="14" t="n">
        <f aca="false">'Slow case'!I39</f>
        <v>46219.0285</v>
      </c>
      <c r="I27" s="14" t="n">
        <f aca="false">'Slow case'!J39</f>
        <v>61841.5495</v>
      </c>
      <c r="J27" s="14" t="n">
        <f aca="false">'Slow case'!K39</f>
        <v>90968.596</v>
      </c>
      <c r="K27" s="14" t="n">
        <f aca="false">'Slow case'!L39</f>
        <v>120095.6425</v>
      </c>
      <c r="L27" s="14" t="n">
        <f aca="false">'Slow case'!M39</f>
        <v>163490.6845</v>
      </c>
      <c r="M27" s="14" t="n">
        <f aca="false">'Slow case'!N39</f>
        <v>206122.2565</v>
      </c>
    </row>
    <row r="28" customFormat="false" ht="15" hidden="false" customHeight="false" outlineLevel="0" collapsed="false">
      <c r="A28" s="5" t="s">
        <v>5</v>
      </c>
      <c r="B28" s="14" t="n">
        <f aca="false">'Base case'!C39</f>
        <v>28770</v>
      </c>
      <c r="C28" s="14" t="n">
        <f aca="false">'Base case'!D39</f>
        <v>27887.9955</v>
      </c>
      <c r="D28" s="14" t="n">
        <f aca="false">'Base case'!E39</f>
        <v>39273.9865</v>
      </c>
      <c r="E28" s="14" t="n">
        <f aca="false">'Base case'!F39</f>
        <v>55659.9775</v>
      </c>
      <c r="F28" s="14" t="n">
        <f aca="false">'Base case'!G39</f>
        <v>85550.494</v>
      </c>
      <c r="G28" s="14" t="n">
        <f aca="false">'Base case'!H39</f>
        <v>128945.536</v>
      </c>
      <c r="H28" s="14" t="n">
        <f aca="false">'Base case'!I39</f>
        <v>186608.5735</v>
      </c>
      <c r="I28" s="14" t="n">
        <f aca="false">'Base case'!J39</f>
        <v>257776.1365</v>
      </c>
      <c r="J28" s="14" t="n">
        <f aca="false">'Base case'!K39</f>
        <v>342448.225</v>
      </c>
      <c r="K28" s="14" t="n">
        <f aca="false">'Base case'!L39</f>
        <v>440624.839</v>
      </c>
      <c r="L28" s="14" t="n">
        <f aca="false">'Base case'!M39</f>
        <v>552305.9785</v>
      </c>
      <c r="M28" s="14" t="n">
        <f aca="false">'Base case'!N39</f>
        <v>677491.6435</v>
      </c>
    </row>
    <row r="29" customFormat="false" ht="15" hidden="false" customHeight="false" outlineLevel="0" collapsed="false">
      <c r="A29" s="5" t="s">
        <v>6</v>
      </c>
      <c r="B29" s="14" t="n">
        <f aca="false">'Target case'!C39</f>
        <v>28770</v>
      </c>
      <c r="C29" s="14" t="n">
        <f aca="false">'Target case'!D39</f>
        <v>42155.991</v>
      </c>
      <c r="D29" s="14" t="n">
        <f aca="false">'Target case'!E39</f>
        <v>82077.973</v>
      </c>
      <c r="E29" s="14" t="n">
        <f aca="false">'Target case'!F39</f>
        <v>141267.9505</v>
      </c>
      <c r="F29" s="14" t="n">
        <f aca="false">'Target case'!G39</f>
        <v>227466.979</v>
      </c>
      <c r="G29" s="14" t="n">
        <f aca="false">'Target case'!H39</f>
        <v>340675.0585</v>
      </c>
      <c r="H29" s="14" t="n">
        <f aca="false">'Target case'!I39</f>
        <v>481655.659</v>
      </c>
      <c r="I29" s="14" t="n">
        <f aca="false">'Target case'!J39</f>
        <v>649645.3105</v>
      </c>
      <c r="J29" s="14" t="n">
        <f aca="false">'Target case'!K39</f>
        <v>844644.013</v>
      </c>
      <c r="K29" s="14" t="n">
        <f aca="false">'Target case'!L39</f>
        <v>1066651.7665</v>
      </c>
      <c r="L29" s="14" t="n">
        <f aca="false">'Target case'!M39</f>
        <v>1315668.571</v>
      </c>
      <c r="M29" s="14" t="n">
        <f aca="false">'Target case'!N39</f>
        <v>1538723.56795652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14" min="3" style="0" width="11"/>
  </cols>
  <sheetData>
    <row r="1" customFormat="false" ht="17.35" hidden="false" customHeight="false" outlineLevel="0" collapsed="false">
      <c r="A1" s="1" t="s">
        <v>27</v>
      </c>
    </row>
    <row r="2" customFormat="false" ht="15" hidden="false" customHeight="false" outlineLevel="0" collapsed="false">
      <c r="A2" s="2" t="s">
        <v>28</v>
      </c>
    </row>
    <row r="4" customFormat="false" ht="15" hidden="false" customHeight="false" outlineLevel="0" collapsed="false">
      <c r="A4" s="3" t="s">
        <v>29</v>
      </c>
      <c r="B4" s="3"/>
      <c r="C4" s="3"/>
      <c r="D4" s="3"/>
      <c r="E4" s="3"/>
      <c r="F4" s="3"/>
      <c r="G4" s="3"/>
      <c r="H4" s="3"/>
      <c r="I4" s="3"/>
      <c r="J4" s="3"/>
      <c r="K4" s="3"/>
      <c r="L4" s="3"/>
      <c r="M4" s="3"/>
      <c r="N4" s="3"/>
    </row>
    <row r="5" customFormat="false" ht="15" hidden="false" customHeight="false" outlineLevel="0" collapsed="false">
      <c r="A5" s="5" t="s">
        <v>30</v>
      </c>
      <c r="B5" s="15" t="n">
        <v>24999</v>
      </c>
      <c r="C5" s="2" t="s">
        <v>31</v>
      </c>
    </row>
    <row r="6" customFormat="false" ht="15" hidden="false" customHeight="false" outlineLevel="0" collapsed="false">
      <c r="A6" s="5" t="s">
        <v>32</v>
      </c>
      <c r="B6" s="16" t="n">
        <v>27999</v>
      </c>
      <c r="C6" s="2" t="s">
        <v>33</v>
      </c>
    </row>
    <row r="7" customFormat="false" ht="15" hidden="false" customHeight="false" outlineLevel="0" collapsed="false">
      <c r="A7" s="5" t="s">
        <v>34</v>
      </c>
      <c r="B7" s="17" t="n">
        <v>13</v>
      </c>
      <c r="C7" s="2" t="s">
        <v>35</v>
      </c>
    </row>
    <row r="8" customFormat="false" ht="15" hidden="false" customHeight="false" outlineLevel="0" collapsed="false">
      <c r="A8" s="5" t="s">
        <v>36</v>
      </c>
      <c r="B8" s="18" t="n">
        <v>0.3</v>
      </c>
      <c r="C8" s="2" t="s">
        <v>37</v>
      </c>
    </row>
    <row r="9" customFormat="false" ht="15" hidden="false" customHeight="false" outlineLevel="0" collapsed="false">
      <c r="A9" s="5" t="s">
        <v>38</v>
      </c>
      <c r="B9" s="16" t="n">
        <v>1499</v>
      </c>
      <c r="C9" s="2" t="s">
        <v>39</v>
      </c>
    </row>
    <row r="10" customFormat="false" ht="15" hidden="false" customHeight="false" outlineLevel="0" collapsed="false">
      <c r="A10" s="5" t="s">
        <v>40</v>
      </c>
      <c r="B10" s="16" t="n">
        <v>700</v>
      </c>
      <c r="C10" s="2" t="s">
        <v>41</v>
      </c>
    </row>
    <row r="12" customFormat="false" ht="15" hidden="false" customHeight="false" outlineLevel="0" collapsed="false">
      <c r="A12" s="3" t="s">
        <v>42</v>
      </c>
      <c r="B12" s="3"/>
      <c r="C12" s="3"/>
      <c r="D12" s="3"/>
      <c r="E12" s="3"/>
      <c r="F12" s="3"/>
      <c r="G12" s="3"/>
      <c r="H12" s="3"/>
      <c r="I12" s="3"/>
      <c r="J12" s="3"/>
      <c r="K12" s="3"/>
      <c r="L12" s="3"/>
      <c r="M12" s="3"/>
      <c r="N12" s="3"/>
    </row>
    <row r="13" customFormat="false" ht="15" hidden="false" customHeight="false" outlineLevel="0" collapsed="false">
      <c r="A13" s="5" t="s">
        <v>43</v>
      </c>
      <c r="B13" s="15" t="n">
        <v>5980</v>
      </c>
      <c r="C13" s="2" t="s">
        <v>44</v>
      </c>
    </row>
    <row r="14" customFormat="false" ht="15" hidden="false" customHeight="false" outlineLevel="0" collapsed="false">
      <c r="A14" s="5" t="s">
        <v>45</v>
      </c>
      <c r="B14" s="15" t="n">
        <v>1950</v>
      </c>
      <c r="C14" s="2" t="s">
        <v>44</v>
      </c>
    </row>
    <row r="15" customFormat="false" ht="15" hidden="false" customHeight="false" outlineLevel="0" collapsed="false">
      <c r="A15" s="5" t="s">
        <v>46</v>
      </c>
      <c r="B15" s="19" t="n">
        <v>0</v>
      </c>
      <c r="C15" s="2" t="s">
        <v>47</v>
      </c>
    </row>
    <row r="16" customFormat="false" ht="15" hidden="false" customHeight="false" outlineLevel="0" collapsed="false">
      <c r="A16" s="5" t="s">
        <v>48</v>
      </c>
      <c r="B16" s="16" t="n">
        <v>450</v>
      </c>
      <c r="C16" s="2" t="s">
        <v>49</v>
      </c>
    </row>
    <row r="17" customFormat="false" ht="15" hidden="false" customHeight="false" outlineLevel="0" collapsed="false">
      <c r="A17" s="5" t="s">
        <v>50</v>
      </c>
      <c r="B17" s="16" t="n">
        <v>300</v>
      </c>
      <c r="C17" s="2" t="s">
        <v>39</v>
      </c>
    </row>
    <row r="18" customFormat="false" ht="15" hidden="false" customHeight="false" outlineLevel="0" collapsed="false">
      <c r="A18" s="5" t="s">
        <v>51</v>
      </c>
      <c r="B18" s="16" t="n">
        <v>1000</v>
      </c>
      <c r="C18" s="2" t="s">
        <v>52</v>
      </c>
    </row>
    <row r="19" customFormat="false" ht="15" hidden="false" customHeight="false" outlineLevel="0" collapsed="false">
      <c r="A19" s="5" t="s">
        <v>53</v>
      </c>
      <c r="B19" s="16" t="n">
        <v>150</v>
      </c>
      <c r="C19" s="2" t="s">
        <v>39</v>
      </c>
    </row>
    <row r="20" customFormat="false" ht="15" hidden="false" customHeight="false" outlineLevel="0" collapsed="false">
      <c r="A20" s="5" t="s">
        <v>54</v>
      </c>
      <c r="B20" s="18" t="n">
        <v>0.035</v>
      </c>
      <c r="C20" s="2" t="s">
        <v>55</v>
      </c>
    </row>
    <row r="21" customFormat="false" ht="15" hidden="false" customHeight="false" outlineLevel="0" collapsed="false">
      <c r="A21" s="5" t="s">
        <v>56</v>
      </c>
      <c r="B21" s="16" t="n">
        <v>250</v>
      </c>
      <c r="C21" s="2" t="s">
        <v>57</v>
      </c>
    </row>
    <row r="22" customFormat="false" ht="15" hidden="false" customHeight="false" outlineLevel="0" collapsed="false">
      <c r="A22" s="5" t="s">
        <v>58</v>
      </c>
      <c r="B22" s="18" t="n">
        <v>0.03</v>
      </c>
      <c r="C22" s="2" t="s">
        <v>59</v>
      </c>
    </row>
    <row r="23" customFormat="false" ht="15" hidden="false" customHeight="false" outlineLevel="0" collapsed="false">
      <c r="A23" s="5" t="s">
        <v>60</v>
      </c>
      <c r="B23" s="17" t="n">
        <v>3</v>
      </c>
      <c r="C23" s="2" t="s">
        <v>61</v>
      </c>
    </row>
    <row r="24" customFormat="false" ht="15" hidden="false" customHeight="false" outlineLevel="0" collapsed="false">
      <c r="A24" s="5" t="s">
        <v>62</v>
      </c>
      <c r="B24" s="16" t="n">
        <v>450</v>
      </c>
      <c r="C24" s="2" t="s">
        <v>63</v>
      </c>
    </row>
    <row r="25" customFormat="false" ht="15" hidden="false" customHeight="false" outlineLevel="0" collapsed="false">
      <c r="A25" s="11" t="s">
        <v>64</v>
      </c>
      <c r="B25" s="20" t="n">
        <f aca="false">B5*(1-B20)-(B13+B14)*(1-B15)-B16-B17-B18-B19-B21-B22*(B5+B24)+B8*(B9*(1-B20)-B10)</f>
        <v>13504.5255</v>
      </c>
      <c r="C25" s="2" t="s">
        <v>65</v>
      </c>
    </row>
    <row r="27" customFormat="false" ht="15" hidden="false" customHeight="false" outlineLevel="0" collapsed="false">
      <c r="A27" s="3" t="s">
        <v>66</v>
      </c>
      <c r="B27" s="3"/>
      <c r="C27" s="3"/>
      <c r="D27" s="3"/>
      <c r="E27" s="3"/>
      <c r="F27" s="3"/>
      <c r="G27" s="3"/>
      <c r="H27" s="3"/>
      <c r="I27" s="3"/>
      <c r="J27" s="3"/>
      <c r="K27" s="3"/>
      <c r="L27" s="3"/>
      <c r="M27" s="3"/>
      <c r="N27" s="3"/>
    </row>
    <row r="28" customFormat="false" ht="15" hidden="false" customHeight="false" outlineLevel="0" collapsed="false">
      <c r="A28" s="5" t="s">
        <v>67</v>
      </c>
      <c r="B28" s="18" t="n">
        <v>0.15</v>
      </c>
      <c r="C28" s="2" t="s">
        <v>68</v>
      </c>
    </row>
    <row r="29" customFormat="false" ht="15" hidden="false" customHeight="false" outlineLevel="0" collapsed="false">
      <c r="A29" s="5" t="s">
        <v>69</v>
      </c>
      <c r="B29" s="16" t="n">
        <v>2300000</v>
      </c>
      <c r="C29" s="2" t="s">
        <v>70</v>
      </c>
    </row>
    <row r="30" customFormat="false" ht="15" hidden="false" customHeight="false" outlineLevel="0" collapsed="false">
      <c r="A30" s="5" t="s">
        <v>71</v>
      </c>
      <c r="B30" s="17" t="n">
        <v>13</v>
      </c>
      <c r="C30" s="2" t="s">
        <v>72</v>
      </c>
    </row>
    <row r="32" customFormat="false" ht="15" hidden="false" customHeight="false" outlineLevel="0" collapsed="false">
      <c r="A32" s="3" t="s">
        <v>73</v>
      </c>
      <c r="B32" s="3"/>
      <c r="C32" s="3"/>
      <c r="D32" s="3"/>
      <c r="E32" s="3"/>
      <c r="F32" s="3"/>
      <c r="G32" s="3"/>
      <c r="H32" s="3"/>
      <c r="I32" s="3"/>
      <c r="J32" s="3"/>
      <c r="K32" s="3"/>
      <c r="L32" s="3"/>
      <c r="M32" s="3"/>
      <c r="N32" s="3"/>
    </row>
    <row r="33" customFormat="false" ht="15" hidden="false" customHeight="false" outlineLevel="0" collapsed="false">
      <c r="A33" s="5" t="s">
        <v>74</v>
      </c>
      <c r="B33" s="15" t="n">
        <v>40000</v>
      </c>
      <c r="C33" s="2" t="s">
        <v>75</v>
      </c>
    </row>
    <row r="34" customFormat="false" ht="15" hidden="false" customHeight="false" outlineLevel="0" collapsed="false">
      <c r="A34" s="5" t="s">
        <v>76</v>
      </c>
      <c r="B34" s="17" t="n">
        <v>1</v>
      </c>
      <c r="C34" s="2"/>
    </row>
    <row r="36" customFormat="false" ht="15" hidden="false" customHeight="false" outlineLevel="0" collapsed="false">
      <c r="A36" s="3" t="s">
        <v>77</v>
      </c>
      <c r="B36" s="3"/>
      <c r="C36" s="3"/>
      <c r="D36" s="3"/>
      <c r="E36" s="3"/>
      <c r="F36" s="3"/>
      <c r="G36" s="3"/>
      <c r="H36" s="3"/>
      <c r="I36" s="3"/>
      <c r="J36" s="3"/>
      <c r="K36" s="3"/>
      <c r="L36" s="3"/>
      <c r="M36" s="3"/>
      <c r="N36" s="3"/>
    </row>
    <row r="37" customFormat="false" ht="15" hidden="false" customHeight="false" outlineLevel="0" collapsed="false">
      <c r="A37" s="11" t="s">
        <v>78</v>
      </c>
      <c r="B37" s="11" t="s">
        <v>79</v>
      </c>
      <c r="C37" s="11" t="s">
        <v>80</v>
      </c>
      <c r="D37" s="11" t="s">
        <v>81</v>
      </c>
    </row>
    <row r="38" customFormat="false" ht="15" hidden="false" customHeight="false" outlineLevel="0" collapsed="false">
      <c r="A38" s="5" t="s">
        <v>82</v>
      </c>
      <c r="B38" s="16" t="n">
        <v>800</v>
      </c>
      <c r="C38" s="17" t="n">
        <v>2</v>
      </c>
      <c r="D38" s="2" t="s">
        <v>83</v>
      </c>
    </row>
    <row r="39" customFormat="false" ht="15" hidden="false" customHeight="false" outlineLevel="0" collapsed="false">
      <c r="A39" s="5" t="s">
        <v>84</v>
      </c>
      <c r="B39" s="16" t="n">
        <v>150</v>
      </c>
      <c r="C39" s="17" t="n">
        <v>1</v>
      </c>
      <c r="D39" s="2" t="s">
        <v>39</v>
      </c>
    </row>
    <row r="40" customFormat="false" ht="15" hidden="false" customHeight="false" outlineLevel="0" collapsed="false">
      <c r="A40" s="5" t="s">
        <v>85</v>
      </c>
      <c r="B40" s="16" t="n">
        <v>400</v>
      </c>
      <c r="C40" s="17" t="n">
        <v>1</v>
      </c>
      <c r="D40" s="2" t="s">
        <v>39</v>
      </c>
    </row>
    <row r="41" customFormat="false" ht="15" hidden="false" customHeight="false" outlineLevel="0" collapsed="false">
      <c r="A41" s="5" t="s">
        <v>86</v>
      </c>
      <c r="B41" s="16" t="n">
        <v>500</v>
      </c>
      <c r="C41" s="17" t="n">
        <v>2</v>
      </c>
      <c r="D41" s="2" t="s">
        <v>87</v>
      </c>
    </row>
    <row r="42" customFormat="false" ht="15" hidden="false" customHeight="false" outlineLevel="0" collapsed="false">
      <c r="A42" s="5" t="s">
        <v>88</v>
      </c>
      <c r="B42" s="16" t="n">
        <v>300</v>
      </c>
      <c r="C42" s="17" t="n">
        <v>1</v>
      </c>
      <c r="D42" s="2" t="s">
        <v>39</v>
      </c>
    </row>
    <row r="43" customFormat="false" ht="15" hidden="false" customHeight="false" outlineLevel="0" collapsed="false">
      <c r="A43" s="5" t="s">
        <v>89</v>
      </c>
      <c r="B43" s="16" t="n">
        <v>0</v>
      </c>
      <c r="C43" s="17" t="n">
        <v>1</v>
      </c>
      <c r="D43" s="2" t="s">
        <v>90</v>
      </c>
    </row>
    <row r="44" customFormat="false" ht="15" hidden="false" customHeight="false" outlineLevel="0" collapsed="false">
      <c r="A44" s="11" t="s">
        <v>91</v>
      </c>
      <c r="B44" s="20" t="n">
        <f aca="false">SUM(B38:B43)</f>
        <v>2150</v>
      </c>
    </row>
    <row r="46" customFormat="false" ht="15" hidden="false" customHeight="false" outlineLevel="0" collapsed="false">
      <c r="A46" s="3" t="s">
        <v>15</v>
      </c>
      <c r="B46" s="3"/>
      <c r="C46" s="3"/>
      <c r="D46" s="3"/>
      <c r="E46" s="3"/>
      <c r="F46" s="3"/>
      <c r="G46" s="3"/>
      <c r="H46" s="3"/>
      <c r="I46" s="3"/>
      <c r="J46" s="3"/>
      <c r="K46" s="3"/>
      <c r="L46" s="3"/>
      <c r="M46" s="3"/>
      <c r="N46" s="3"/>
    </row>
    <row r="47" customFormat="false" ht="15" hidden="false" customHeight="false" outlineLevel="0" collapsed="false">
      <c r="A47" s="11" t="s">
        <v>78</v>
      </c>
      <c r="B47" s="11" t="s">
        <v>92</v>
      </c>
      <c r="C47" s="11" t="s">
        <v>93</v>
      </c>
      <c r="D47" s="11" t="s">
        <v>81</v>
      </c>
    </row>
    <row r="48" customFormat="false" ht="15" hidden="false" customHeight="false" outlineLevel="0" collapsed="false">
      <c r="A48" s="5" t="s">
        <v>94</v>
      </c>
      <c r="B48" s="16" t="n">
        <v>7930</v>
      </c>
      <c r="C48" s="17" t="n">
        <v>1</v>
      </c>
      <c r="D48" s="2" t="s">
        <v>95</v>
      </c>
    </row>
    <row r="49" customFormat="false" ht="15" hidden="false" customHeight="false" outlineLevel="0" collapsed="false">
      <c r="A49" s="5" t="s">
        <v>96</v>
      </c>
      <c r="B49" s="16" t="n">
        <v>450</v>
      </c>
      <c r="C49" s="17" t="n">
        <v>1</v>
      </c>
      <c r="D49" s="2" t="s">
        <v>97</v>
      </c>
    </row>
    <row r="50" customFormat="false" ht="15" hidden="false" customHeight="false" outlineLevel="0" collapsed="false">
      <c r="A50" s="5" t="s">
        <v>98</v>
      </c>
      <c r="B50" s="16" t="n">
        <v>500</v>
      </c>
      <c r="C50" s="17" t="n">
        <v>1</v>
      </c>
      <c r="D50" s="2" t="s">
        <v>99</v>
      </c>
    </row>
    <row r="51" customFormat="false" ht="15" hidden="false" customHeight="false" outlineLevel="0" collapsed="false">
      <c r="A51" s="5" t="s">
        <v>100</v>
      </c>
      <c r="B51" s="16" t="n">
        <v>1500</v>
      </c>
      <c r="C51" s="17" t="n">
        <v>1</v>
      </c>
      <c r="D51" s="2" t="s">
        <v>101</v>
      </c>
    </row>
    <row r="52" customFormat="false" ht="15" hidden="false" customHeight="false" outlineLevel="0" collapsed="false">
      <c r="A52" s="5" t="s">
        <v>102</v>
      </c>
      <c r="B52" s="16" t="n">
        <v>0</v>
      </c>
      <c r="C52" s="17" t="n">
        <v>1</v>
      </c>
      <c r="D52" s="2" t="s">
        <v>103</v>
      </c>
    </row>
    <row r="53" customFormat="false" ht="15" hidden="false" customHeight="false" outlineLevel="0" collapsed="false">
      <c r="A53" s="5" t="s">
        <v>104</v>
      </c>
      <c r="B53" s="16" t="n">
        <v>0</v>
      </c>
      <c r="C53" s="17" t="n">
        <v>2</v>
      </c>
      <c r="D53" s="2" t="s">
        <v>105</v>
      </c>
    </row>
    <row r="54" customFormat="false" ht="15" hidden="false" customHeight="false" outlineLevel="0" collapsed="false">
      <c r="A54" s="5" t="s">
        <v>106</v>
      </c>
      <c r="B54" s="16" t="n">
        <v>0</v>
      </c>
      <c r="C54" s="17" t="n">
        <v>2</v>
      </c>
      <c r="D54" s="2" t="s">
        <v>107</v>
      </c>
    </row>
    <row r="55" customFormat="false" ht="15" hidden="false" customHeight="false" outlineLevel="0" collapsed="false">
      <c r="A55" s="5" t="s">
        <v>108</v>
      </c>
      <c r="B55" s="16" t="n">
        <v>3000</v>
      </c>
      <c r="C55" s="17" t="n">
        <v>2</v>
      </c>
      <c r="D55" s="2" t="s">
        <v>109</v>
      </c>
    </row>
    <row r="56" customFormat="false" ht="15" hidden="false" customHeight="false" outlineLevel="0" collapsed="false">
      <c r="A56" s="5" t="s">
        <v>110</v>
      </c>
      <c r="B56" s="16" t="n">
        <v>2000</v>
      </c>
      <c r="C56" s="17" t="n">
        <v>2</v>
      </c>
      <c r="D56" s="2" t="s">
        <v>39</v>
      </c>
    </row>
    <row r="57" customFormat="false" ht="15" hidden="false" customHeight="false" outlineLevel="0" collapsed="false">
      <c r="A57" s="5" t="s">
        <v>111</v>
      </c>
      <c r="B57" s="16" t="n">
        <v>5000</v>
      </c>
      <c r="C57" s="17" t="n">
        <v>3</v>
      </c>
      <c r="D57" s="2" t="s">
        <v>39</v>
      </c>
    </row>
    <row r="58" customFormat="false" ht="15" hidden="false" customHeight="false" outlineLevel="0" collapsed="false">
      <c r="A58" s="5" t="s">
        <v>112</v>
      </c>
      <c r="B58" s="16" t="n">
        <v>0</v>
      </c>
      <c r="C58" s="17" t="n">
        <v>4</v>
      </c>
      <c r="D58" s="2" t="s">
        <v>113</v>
      </c>
    </row>
    <row r="59" customFormat="false" ht="15" hidden="false" customHeight="false" outlineLevel="0" collapsed="false">
      <c r="A59" s="11" t="s">
        <v>114</v>
      </c>
      <c r="B59" s="20" t="n">
        <f aca="false">SUM(B48:B58)</f>
        <v>20380</v>
      </c>
    </row>
    <row r="61" customFormat="false" ht="15" hidden="false" customHeight="false" outlineLevel="0" collapsed="false">
      <c r="A61" s="3" t="s">
        <v>115</v>
      </c>
      <c r="B61" s="3"/>
      <c r="C61" s="3"/>
      <c r="D61" s="3"/>
      <c r="E61" s="3"/>
      <c r="F61" s="3"/>
      <c r="G61" s="3"/>
      <c r="H61" s="3"/>
      <c r="I61" s="3"/>
      <c r="J61" s="3"/>
      <c r="K61" s="3"/>
      <c r="L61" s="3"/>
      <c r="M61" s="3"/>
      <c r="N61" s="3"/>
    </row>
    <row r="62" customFormat="false" ht="15" hidden="false" customHeight="false" outlineLevel="0" collapsed="false">
      <c r="A62" s="11" t="s">
        <v>93</v>
      </c>
      <c r="B62" s="11" t="s">
        <v>114</v>
      </c>
      <c r="C62" s="21" t="n">
        <v>1</v>
      </c>
      <c r="D62" s="21" t="n">
        <v>2</v>
      </c>
      <c r="E62" s="21" t="n">
        <v>3</v>
      </c>
      <c r="F62" s="21" t="n">
        <v>4</v>
      </c>
      <c r="G62" s="21" t="n">
        <v>5</v>
      </c>
      <c r="H62" s="21" t="n">
        <v>6</v>
      </c>
      <c r="I62" s="21" t="n">
        <v>7</v>
      </c>
      <c r="J62" s="21" t="n">
        <v>8</v>
      </c>
      <c r="K62" s="21" t="n">
        <v>9</v>
      </c>
      <c r="L62" s="21" t="n">
        <v>10</v>
      </c>
      <c r="M62" s="21" t="n">
        <v>11</v>
      </c>
      <c r="N62" s="21" t="n">
        <v>12</v>
      </c>
    </row>
    <row r="63" customFormat="false" ht="15" hidden="false" customHeight="false" outlineLevel="0" collapsed="false">
      <c r="A63" s="11" t="s">
        <v>26</v>
      </c>
      <c r="C63" s="22" t="s">
        <v>116</v>
      </c>
      <c r="D63" s="22" t="s">
        <v>117</v>
      </c>
      <c r="E63" s="22" t="s">
        <v>118</v>
      </c>
      <c r="F63" s="22" t="s">
        <v>119</v>
      </c>
      <c r="G63" s="22" t="s">
        <v>120</v>
      </c>
      <c r="H63" s="22" t="s">
        <v>121</v>
      </c>
      <c r="I63" s="22" t="s">
        <v>122</v>
      </c>
      <c r="J63" s="22" t="s">
        <v>123</v>
      </c>
      <c r="K63" s="22" t="s">
        <v>124</v>
      </c>
      <c r="L63" s="22" t="s">
        <v>125</v>
      </c>
      <c r="M63" s="22" t="s">
        <v>126</v>
      </c>
      <c r="N63" s="22" t="s">
        <v>127</v>
      </c>
    </row>
    <row r="64" customFormat="false" ht="15" hidden="false" customHeight="false" outlineLevel="0" collapsed="false">
      <c r="A64" s="5" t="s">
        <v>128</v>
      </c>
      <c r="B64" s="23" t="n">
        <f aca="false">SUM(C64:N64)</f>
        <v>108000</v>
      </c>
      <c r="C64" s="15" t="n">
        <v>0</v>
      </c>
      <c r="D64" s="15" t="n">
        <v>8000</v>
      </c>
      <c r="E64" s="15" t="n">
        <v>10000</v>
      </c>
      <c r="F64" s="15" t="n">
        <v>10000</v>
      </c>
      <c r="G64" s="15" t="n">
        <v>10000</v>
      </c>
      <c r="H64" s="15" t="n">
        <v>10000</v>
      </c>
      <c r="I64" s="15" t="n">
        <v>10000</v>
      </c>
      <c r="J64" s="15" t="n">
        <v>10000</v>
      </c>
      <c r="K64" s="15" t="n">
        <v>10000</v>
      </c>
      <c r="L64" s="15" t="n">
        <v>10000</v>
      </c>
      <c r="M64" s="15" t="n">
        <v>10000</v>
      </c>
      <c r="N64" s="15" t="n">
        <v>10000</v>
      </c>
    </row>
    <row r="66" customFormat="false" ht="15" hidden="false" customHeight="false" outlineLevel="0" collapsed="false">
      <c r="A66" s="11" t="s">
        <v>129</v>
      </c>
    </row>
    <row r="67" customFormat="false" ht="15" hidden="false" customHeight="false" outlineLevel="0" collapsed="false">
      <c r="A67" s="5" t="s">
        <v>130</v>
      </c>
      <c r="B67" s="24" t="n">
        <f aca="false">SUM(C67:N67)</f>
        <v>23</v>
      </c>
      <c r="C67" s="25" t="n">
        <v>0</v>
      </c>
      <c r="D67" s="25" t="n">
        <v>0</v>
      </c>
      <c r="E67" s="25" t="n">
        <v>1</v>
      </c>
      <c r="F67" s="25" t="n">
        <v>1</v>
      </c>
      <c r="G67" s="25" t="n">
        <v>1</v>
      </c>
      <c r="H67" s="25" t="n">
        <v>2</v>
      </c>
      <c r="I67" s="25" t="n">
        <v>2</v>
      </c>
      <c r="J67" s="25" t="n">
        <v>2</v>
      </c>
      <c r="K67" s="25" t="n">
        <v>3</v>
      </c>
      <c r="L67" s="25" t="n">
        <v>3</v>
      </c>
      <c r="M67" s="25" t="n">
        <v>4</v>
      </c>
      <c r="N67" s="25" t="n">
        <v>4</v>
      </c>
    </row>
    <row r="68" customFormat="false" ht="15" hidden="false" customHeight="false" outlineLevel="0" collapsed="false">
      <c r="A68" s="5" t="s">
        <v>131</v>
      </c>
      <c r="B68" s="24" t="n">
        <f aca="false">SUM(C68:N68)</f>
        <v>57</v>
      </c>
      <c r="C68" s="25" t="n">
        <v>0</v>
      </c>
      <c r="D68" s="25" t="n">
        <v>1</v>
      </c>
      <c r="E68" s="25" t="n">
        <v>2</v>
      </c>
      <c r="F68" s="25" t="n">
        <v>2</v>
      </c>
      <c r="G68" s="25" t="n">
        <v>3</v>
      </c>
      <c r="H68" s="25" t="n">
        <v>4</v>
      </c>
      <c r="I68" s="25" t="n">
        <v>5</v>
      </c>
      <c r="J68" s="25" t="n">
        <v>6</v>
      </c>
      <c r="K68" s="25" t="n">
        <v>7</v>
      </c>
      <c r="L68" s="25" t="n">
        <v>8</v>
      </c>
      <c r="M68" s="25" t="n">
        <v>9</v>
      </c>
      <c r="N68" s="25" t="n">
        <v>10</v>
      </c>
    </row>
    <row r="69" customFormat="false" ht="15" hidden="false" customHeight="false" outlineLevel="0" collapsed="false">
      <c r="A69" s="5" t="s">
        <v>132</v>
      </c>
      <c r="B69" s="24" t="n">
        <f aca="false">SUM(C69:N69)</f>
        <v>122</v>
      </c>
      <c r="C69" s="25" t="n">
        <v>0</v>
      </c>
      <c r="D69" s="25" t="n">
        <v>2</v>
      </c>
      <c r="E69" s="25" t="n">
        <v>4</v>
      </c>
      <c r="F69" s="25" t="n">
        <v>5</v>
      </c>
      <c r="G69" s="25" t="n">
        <v>7</v>
      </c>
      <c r="H69" s="25" t="n">
        <v>9</v>
      </c>
      <c r="I69" s="25" t="n">
        <v>11</v>
      </c>
      <c r="J69" s="25" t="n">
        <v>13</v>
      </c>
      <c r="K69" s="25" t="n">
        <v>15</v>
      </c>
      <c r="L69" s="25" t="n">
        <v>17</v>
      </c>
      <c r="M69" s="25" t="n">
        <v>19</v>
      </c>
      <c r="N69" s="25" t="n">
        <v>20</v>
      </c>
    </row>
    <row r="71" customFormat="false" ht="15" hidden="false" customHeight="false" outlineLevel="0" collapsed="false">
      <c r="A71" s="2"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14" min="3" style="0" width="11"/>
  </cols>
  <sheetData>
    <row r="1" customFormat="false" ht="17.35" hidden="false" customHeight="false" outlineLevel="0" collapsed="false">
      <c r="A1" s="1" t="s">
        <v>134</v>
      </c>
    </row>
    <row r="2" customFormat="false" ht="15" hidden="false" customHeight="false" outlineLevel="0" collapsed="false">
      <c r="A2" s="5" t="s">
        <v>135</v>
      </c>
      <c r="B2" s="26" t="n">
        <v>1</v>
      </c>
      <c r="C2" s="2" t="s">
        <v>136</v>
      </c>
    </row>
    <row r="4" customFormat="false" ht="15" hidden="false" customHeight="false" outlineLevel="0" collapsed="false">
      <c r="A4" s="11" t="s">
        <v>93</v>
      </c>
      <c r="C4" s="27" t="n">
        <f aca="false">Assumptions!C62</f>
        <v>1</v>
      </c>
      <c r="D4" s="27" t="n">
        <f aca="false">Assumptions!D62</f>
        <v>2</v>
      </c>
      <c r="E4" s="27" t="n">
        <f aca="false">Assumptions!E62</f>
        <v>3</v>
      </c>
      <c r="F4" s="27" t="n">
        <f aca="false">Assumptions!F62</f>
        <v>4</v>
      </c>
      <c r="G4" s="27" t="n">
        <f aca="false">Assumptions!G62</f>
        <v>5</v>
      </c>
      <c r="H4" s="27" t="n">
        <f aca="false">Assumptions!H62</f>
        <v>6</v>
      </c>
      <c r="I4" s="27" t="n">
        <f aca="false">Assumptions!I62</f>
        <v>7</v>
      </c>
      <c r="J4" s="27" t="n">
        <f aca="false">Assumptions!J62</f>
        <v>8</v>
      </c>
      <c r="K4" s="27" t="n">
        <f aca="false">Assumptions!K62</f>
        <v>9</v>
      </c>
      <c r="L4" s="27" t="n">
        <f aca="false">Assumptions!L62</f>
        <v>10</v>
      </c>
      <c r="M4" s="27" t="n">
        <f aca="false">Assumptions!M62</f>
        <v>11</v>
      </c>
      <c r="N4" s="27" t="n">
        <f aca="false">Assumptions!N62</f>
        <v>12</v>
      </c>
    </row>
    <row r="5" customFormat="false" ht="15" hidden="false" customHeight="false" outlineLevel="0" collapsed="false">
      <c r="A5" s="11" t="s">
        <v>26</v>
      </c>
      <c r="B5" s="22" t="s">
        <v>137</v>
      </c>
      <c r="C5" s="13" t="str">
        <f aca="false">Assumptions!C63</f>
        <v>Oct 2026</v>
      </c>
      <c r="D5" s="13" t="str">
        <f aca="false">Assumptions!D63</f>
        <v>Nov 2026</v>
      </c>
      <c r="E5" s="13" t="str">
        <f aca="false">Assumptions!E63</f>
        <v>Dec 2026</v>
      </c>
      <c r="F5" s="13" t="str">
        <f aca="false">Assumptions!F63</f>
        <v>Jan 2027</v>
      </c>
      <c r="G5" s="13" t="str">
        <f aca="false">Assumptions!G63</f>
        <v>Feb 2027</v>
      </c>
      <c r="H5" s="13" t="str">
        <f aca="false">Assumptions!H63</f>
        <v>Mar 2027</v>
      </c>
      <c r="I5" s="13" t="str">
        <f aca="false">Assumptions!I63</f>
        <v>Apr 2027</v>
      </c>
      <c r="J5" s="13" t="str">
        <f aca="false">Assumptions!J63</f>
        <v>May 2027</v>
      </c>
      <c r="K5" s="13" t="str">
        <f aca="false">Assumptions!K63</f>
        <v>Jun 2027</v>
      </c>
      <c r="L5" s="13" t="str">
        <f aca="false">Assumptions!L63</f>
        <v>Jul 2027</v>
      </c>
      <c r="M5" s="13" t="str">
        <f aca="false">Assumptions!M63</f>
        <v>Aug 2027</v>
      </c>
      <c r="N5" s="13" t="str">
        <f aca="false">Assumptions!N63</f>
        <v>Sep 2027</v>
      </c>
    </row>
    <row r="6" customFormat="false" ht="15" hidden="false" customHeight="false" outlineLevel="0" collapsed="false">
      <c r="A6" s="5" t="s">
        <v>7</v>
      </c>
      <c r="B6" s="28" t="n">
        <f aca="false">SUM(C6:N6)</f>
        <v>23</v>
      </c>
      <c r="C6" s="29" t="n">
        <f aca="false">INDEX(Assumptions!$C$67:$N$69,$B$2,C$4)</f>
        <v>0</v>
      </c>
      <c r="D6" s="29" t="n">
        <f aca="false">INDEX(Assumptions!$C$67:$N$69,$B$2,D$4)</f>
        <v>0</v>
      </c>
      <c r="E6" s="29" t="n">
        <f aca="false">INDEX(Assumptions!$C$67:$N$69,$B$2,E$4)</f>
        <v>1</v>
      </c>
      <c r="F6" s="29" t="n">
        <f aca="false">INDEX(Assumptions!$C$67:$N$69,$B$2,F$4)</f>
        <v>1</v>
      </c>
      <c r="G6" s="29" t="n">
        <f aca="false">INDEX(Assumptions!$C$67:$N$69,$B$2,G$4)</f>
        <v>1</v>
      </c>
      <c r="H6" s="29" t="n">
        <f aca="false">INDEX(Assumptions!$C$67:$N$69,$B$2,H$4)</f>
        <v>2</v>
      </c>
      <c r="I6" s="29" t="n">
        <f aca="false">INDEX(Assumptions!$C$67:$N$69,$B$2,I$4)</f>
        <v>2</v>
      </c>
      <c r="J6" s="29" t="n">
        <f aca="false">INDEX(Assumptions!$C$67:$N$69,$B$2,J$4)</f>
        <v>2</v>
      </c>
      <c r="K6" s="29" t="n">
        <f aca="false">INDEX(Assumptions!$C$67:$N$69,$B$2,K$4)</f>
        <v>3</v>
      </c>
      <c r="L6" s="29" t="n">
        <f aca="false">INDEX(Assumptions!$C$67:$N$69,$B$2,L$4)</f>
        <v>3</v>
      </c>
      <c r="M6" s="29" t="n">
        <f aca="false">INDEX(Assumptions!$C$67:$N$69,$B$2,M$4)</f>
        <v>4</v>
      </c>
      <c r="N6" s="29" t="n">
        <f aca="false">INDEX(Assumptions!$C$67:$N$69,$B$2,N$4)</f>
        <v>4</v>
      </c>
    </row>
    <row r="7" customFormat="false" ht="15" hidden="false" customHeight="false" outlineLevel="0" collapsed="false">
      <c r="A7" s="5" t="s">
        <v>138</v>
      </c>
      <c r="C7" s="14" t="n">
        <f aca="false">IF(C$4&gt;=Assumptions!$B$7,Assumptions!$B$6,Assumptions!$B$5)</f>
        <v>24999</v>
      </c>
      <c r="D7" s="14" t="n">
        <f aca="false">IF(D$4&gt;=Assumptions!$B$7,Assumptions!$B$6,Assumptions!$B$5)</f>
        <v>24999</v>
      </c>
      <c r="E7" s="14" t="n">
        <f aca="false">IF(E$4&gt;=Assumptions!$B$7,Assumptions!$B$6,Assumptions!$B$5)</f>
        <v>24999</v>
      </c>
      <c r="F7" s="14" t="n">
        <f aca="false">IF(F$4&gt;=Assumptions!$B$7,Assumptions!$B$6,Assumptions!$B$5)</f>
        <v>24999</v>
      </c>
      <c r="G7" s="14" t="n">
        <f aca="false">IF(G$4&gt;=Assumptions!$B$7,Assumptions!$B$6,Assumptions!$B$5)</f>
        <v>24999</v>
      </c>
      <c r="H7" s="14" t="n">
        <f aca="false">IF(H$4&gt;=Assumptions!$B$7,Assumptions!$B$6,Assumptions!$B$5)</f>
        <v>24999</v>
      </c>
      <c r="I7" s="14" t="n">
        <f aca="false">IF(I$4&gt;=Assumptions!$B$7,Assumptions!$B$6,Assumptions!$B$5)</f>
        <v>24999</v>
      </c>
      <c r="J7" s="14" t="n">
        <f aca="false">IF(J$4&gt;=Assumptions!$B$7,Assumptions!$B$6,Assumptions!$B$5)</f>
        <v>24999</v>
      </c>
      <c r="K7" s="14" t="n">
        <f aca="false">IF(K$4&gt;=Assumptions!$B$7,Assumptions!$B$6,Assumptions!$B$5)</f>
        <v>24999</v>
      </c>
      <c r="L7" s="14" t="n">
        <f aca="false">IF(L$4&gt;=Assumptions!$B$7,Assumptions!$B$6,Assumptions!$B$5)</f>
        <v>24999</v>
      </c>
      <c r="M7" s="14" t="n">
        <f aca="false">IF(M$4&gt;=Assumptions!$B$7,Assumptions!$B$6,Assumptions!$B$5)</f>
        <v>24999</v>
      </c>
      <c r="N7" s="14" t="n">
        <f aca="false">IF(N$4&gt;=Assumptions!$B$7,Assumptions!$B$6,Assumptions!$B$5)</f>
        <v>24999</v>
      </c>
    </row>
    <row r="9" customFormat="false" ht="15" hidden="false" customHeight="false" outlineLevel="0" collapsed="false">
      <c r="A9" s="3" t="s">
        <v>139</v>
      </c>
      <c r="B9" s="3"/>
      <c r="C9" s="3"/>
      <c r="D9" s="3"/>
      <c r="E9" s="3"/>
      <c r="F9" s="3"/>
      <c r="G9" s="3"/>
      <c r="H9" s="3"/>
      <c r="I9" s="3"/>
      <c r="J9" s="3"/>
      <c r="K9" s="3"/>
      <c r="L9" s="3"/>
      <c r="M9" s="3"/>
      <c r="N9" s="3"/>
    </row>
    <row r="10" customFormat="false" ht="15" hidden="false" customHeight="false" outlineLevel="0" collapsed="false">
      <c r="A10" s="5" t="s">
        <v>140</v>
      </c>
      <c r="B10" s="30" t="n">
        <f aca="false">SUM(C10:N10)</f>
        <v>574977</v>
      </c>
      <c r="C10" s="30" t="n">
        <f aca="false">C6*C7</f>
        <v>0</v>
      </c>
      <c r="D10" s="30" t="n">
        <f aca="false">D6*D7</f>
        <v>0</v>
      </c>
      <c r="E10" s="30" t="n">
        <f aca="false">E6*E7</f>
        <v>24999</v>
      </c>
      <c r="F10" s="30" t="n">
        <f aca="false">F6*F7</f>
        <v>24999</v>
      </c>
      <c r="G10" s="30" t="n">
        <f aca="false">G6*G7</f>
        <v>24999</v>
      </c>
      <c r="H10" s="30" t="n">
        <f aca="false">H6*H7</f>
        <v>49998</v>
      </c>
      <c r="I10" s="30" t="n">
        <f aca="false">I6*I7</f>
        <v>49998</v>
      </c>
      <c r="J10" s="30" t="n">
        <f aca="false">J6*J7</f>
        <v>49998</v>
      </c>
      <c r="K10" s="30" t="n">
        <f aca="false">K6*K7</f>
        <v>74997</v>
      </c>
      <c r="L10" s="30" t="n">
        <f aca="false">L6*L7</f>
        <v>74997</v>
      </c>
      <c r="M10" s="30" t="n">
        <f aca="false">M6*M7</f>
        <v>99996</v>
      </c>
      <c r="N10" s="30" t="n">
        <f aca="false">N6*N7</f>
        <v>99996</v>
      </c>
    </row>
    <row r="11" customFormat="false" ht="15" hidden="false" customHeight="false" outlineLevel="0" collapsed="false">
      <c r="A11" s="5" t="s">
        <v>141</v>
      </c>
      <c r="B11" s="30" t="n">
        <f aca="false">SUM(C11:N11)</f>
        <v>10343.1</v>
      </c>
      <c r="C11" s="30" t="n">
        <f aca="false">C6*Assumptions!$B$8*Assumptions!$B$9</f>
        <v>0</v>
      </c>
      <c r="D11" s="30" t="n">
        <f aca="false">D6*Assumptions!$B$8*Assumptions!$B$9</f>
        <v>0</v>
      </c>
      <c r="E11" s="30" t="n">
        <f aca="false">E6*Assumptions!$B$8*Assumptions!$B$9</f>
        <v>449.7</v>
      </c>
      <c r="F11" s="30" t="n">
        <f aca="false">F6*Assumptions!$B$8*Assumptions!$B$9</f>
        <v>449.7</v>
      </c>
      <c r="G11" s="30" t="n">
        <f aca="false">G6*Assumptions!$B$8*Assumptions!$B$9</f>
        <v>449.7</v>
      </c>
      <c r="H11" s="30" t="n">
        <f aca="false">H6*Assumptions!$B$8*Assumptions!$B$9</f>
        <v>899.4</v>
      </c>
      <c r="I11" s="30" t="n">
        <f aca="false">I6*Assumptions!$B$8*Assumptions!$B$9</f>
        <v>899.4</v>
      </c>
      <c r="J11" s="30" t="n">
        <f aca="false">J6*Assumptions!$B$8*Assumptions!$B$9</f>
        <v>899.4</v>
      </c>
      <c r="K11" s="30" t="n">
        <f aca="false">K6*Assumptions!$B$8*Assumptions!$B$9</f>
        <v>1349.1</v>
      </c>
      <c r="L11" s="30" t="n">
        <f aca="false">L6*Assumptions!$B$8*Assumptions!$B$9</f>
        <v>1349.1</v>
      </c>
      <c r="M11" s="30" t="n">
        <f aca="false">M6*Assumptions!$B$8*Assumptions!$B$9</f>
        <v>1798.8</v>
      </c>
      <c r="N11" s="30" t="n">
        <f aca="false">N6*Assumptions!$B$8*Assumptions!$B$9</f>
        <v>1798.8</v>
      </c>
    </row>
    <row r="12" customFormat="false" ht="15" hidden="false" customHeight="false" outlineLevel="0" collapsed="false">
      <c r="A12" s="5" t="s">
        <v>9</v>
      </c>
      <c r="B12" s="30" t="n">
        <f aca="false">SUM(C12:N12)</f>
        <v>-8999.64</v>
      </c>
      <c r="C12" s="30" t="n">
        <f aca="true">IF(C$4&gt;Assumptions!$B$23,-OFFSET(C10,0,-Assumptions!$B$23)*Assumptions!$B$22,0)</f>
        <v>0</v>
      </c>
      <c r="D12" s="30" t="n">
        <f aca="true">IF(D$4&gt;Assumptions!$B$23,-OFFSET(D10,0,-Assumptions!$B$23)*Assumptions!$B$22,0)</f>
        <v>0</v>
      </c>
      <c r="E12" s="30" t="n">
        <f aca="true">IF(E$4&gt;Assumptions!$B$23,-OFFSET(E10,0,-Assumptions!$B$23)*Assumptions!$B$22,0)</f>
        <v>0</v>
      </c>
      <c r="F12" s="30" t="n">
        <f aca="true">IF(F$4&gt;Assumptions!$B$23,-OFFSET(F10,0,-Assumptions!$B$23)*Assumptions!$B$22,0)</f>
        <v>-0</v>
      </c>
      <c r="G12" s="30" t="n">
        <f aca="true">IF(G$4&gt;Assumptions!$B$23,-OFFSET(G10,0,-Assumptions!$B$23)*Assumptions!$B$22,0)</f>
        <v>-0</v>
      </c>
      <c r="H12" s="30" t="n">
        <f aca="true">IF(H$4&gt;Assumptions!$B$23,-OFFSET(H10,0,-Assumptions!$B$23)*Assumptions!$B$22,0)</f>
        <v>-749.97</v>
      </c>
      <c r="I12" s="30" t="n">
        <f aca="true">IF(I$4&gt;Assumptions!$B$23,-OFFSET(I10,0,-Assumptions!$B$23)*Assumptions!$B$22,0)</f>
        <v>-749.97</v>
      </c>
      <c r="J12" s="30" t="n">
        <f aca="true">IF(J$4&gt;Assumptions!$B$23,-OFFSET(J10,0,-Assumptions!$B$23)*Assumptions!$B$22,0)</f>
        <v>-749.97</v>
      </c>
      <c r="K12" s="30" t="n">
        <f aca="true">IF(K$4&gt;Assumptions!$B$23,-OFFSET(K10,0,-Assumptions!$B$23)*Assumptions!$B$22,0)</f>
        <v>-1499.94</v>
      </c>
      <c r="L12" s="30" t="n">
        <f aca="true">IF(L$4&gt;Assumptions!$B$23,-OFFSET(L10,0,-Assumptions!$B$23)*Assumptions!$B$22,0)</f>
        <v>-1499.94</v>
      </c>
      <c r="M12" s="30" t="n">
        <f aca="true">IF(M$4&gt;Assumptions!$B$23,-OFFSET(M10,0,-Assumptions!$B$23)*Assumptions!$B$22,0)</f>
        <v>-1499.94</v>
      </c>
      <c r="N12" s="30" t="n">
        <f aca="true">IF(N$4&gt;Assumptions!$B$23,-OFFSET(N10,0,-Assumptions!$B$23)*Assumptions!$B$22,0)</f>
        <v>-2249.91</v>
      </c>
    </row>
    <row r="13" customFormat="false" ht="15" hidden="false" customHeight="false" outlineLevel="0" collapsed="false">
      <c r="A13" s="8" t="s">
        <v>142</v>
      </c>
      <c r="B13" s="31" t="n">
        <f aca="false">SUM(C13:N13)</f>
        <v>576320.46</v>
      </c>
      <c r="C13" s="31" t="n">
        <f aca="false">SUM(C10:C12)</f>
        <v>0</v>
      </c>
      <c r="D13" s="31" t="n">
        <f aca="false">SUM(D10:D12)</f>
        <v>0</v>
      </c>
      <c r="E13" s="31" t="n">
        <f aca="false">SUM(E10:E12)</f>
        <v>25448.7</v>
      </c>
      <c r="F13" s="31" t="n">
        <f aca="false">SUM(F10:F12)</f>
        <v>25448.7</v>
      </c>
      <c r="G13" s="31" t="n">
        <f aca="false">SUM(G10:G12)</f>
        <v>25448.7</v>
      </c>
      <c r="H13" s="31" t="n">
        <f aca="false">SUM(H10:H12)</f>
        <v>50147.43</v>
      </c>
      <c r="I13" s="31" t="n">
        <f aca="false">SUM(I10:I12)</f>
        <v>50147.43</v>
      </c>
      <c r="J13" s="31" t="n">
        <f aca="false">SUM(J10:J12)</f>
        <v>50147.43</v>
      </c>
      <c r="K13" s="31" t="n">
        <f aca="false">SUM(K10:K12)</f>
        <v>74846.16</v>
      </c>
      <c r="L13" s="31" t="n">
        <f aca="false">SUM(L10:L12)</f>
        <v>74846.16</v>
      </c>
      <c r="M13" s="31" t="n">
        <f aca="false">SUM(M10:M12)</f>
        <v>100294.86</v>
      </c>
      <c r="N13" s="31" t="n">
        <f aca="false">SUM(N10:N12)</f>
        <v>99544.89</v>
      </c>
    </row>
    <row r="15" customFormat="false" ht="15" hidden="false" customHeight="false" outlineLevel="0" collapsed="false">
      <c r="A15" s="3" t="s">
        <v>143</v>
      </c>
      <c r="B15" s="3"/>
      <c r="C15" s="3"/>
      <c r="D15" s="3"/>
      <c r="E15" s="3"/>
      <c r="F15" s="3"/>
      <c r="G15" s="3"/>
      <c r="H15" s="3"/>
      <c r="I15" s="3"/>
      <c r="J15" s="3"/>
      <c r="K15" s="3"/>
      <c r="L15" s="3"/>
      <c r="M15" s="3"/>
      <c r="N15" s="3"/>
    </row>
    <row r="16" customFormat="false" ht="15" hidden="false" customHeight="false" outlineLevel="0" collapsed="false">
      <c r="A16" s="5" t="s">
        <v>144</v>
      </c>
      <c r="B16" s="30" t="n">
        <f aca="false">SUM(C16:N16)</f>
        <v>-182390</v>
      </c>
      <c r="C16" s="30" t="n">
        <f aca="false">-C6*(Assumptions!$B$13+Assumptions!$B$14)*(1-Assumptions!$B$15)</f>
        <v>-0</v>
      </c>
      <c r="D16" s="30" t="n">
        <f aca="false">-D6*(Assumptions!$B$13+Assumptions!$B$14)*(1-Assumptions!$B$15)</f>
        <v>-0</v>
      </c>
      <c r="E16" s="30" t="n">
        <f aca="false">-E6*(Assumptions!$B$13+Assumptions!$B$14)*(1-Assumptions!$B$15)</f>
        <v>-7930</v>
      </c>
      <c r="F16" s="30" t="n">
        <f aca="false">-F6*(Assumptions!$B$13+Assumptions!$B$14)*(1-Assumptions!$B$15)</f>
        <v>-7930</v>
      </c>
      <c r="G16" s="30" t="n">
        <f aca="false">-G6*(Assumptions!$B$13+Assumptions!$B$14)*(1-Assumptions!$B$15)</f>
        <v>-7930</v>
      </c>
      <c r="H16" s="30" t="n">
        <f aca="false">-H6*(Assumptions!$B$13+Assumptions!$B$14)*(1-Assumptions!$B$15)</f>
        <v>-15860</v>
      </c>
      <c r="I16" s="30" t="n">
        <f aca="false">-I6*(Assumptions!$B$13+Assumptions!$B$14)*(1-Assumptions!$B$15)</f>
        <v>-15860</v>
      </c>
      <c r="J16" s="30" t="n">
        <f aca="false">-J6*(Assumptions!$B$13+Assumptions!$B$14)*(1-Assumptions!$B$15)</f>
        <v>-15860</v>
      </c>
      <c r="K16" s="30" t="n">
        <f aca="false">-K6*(Assumptions!$B$13+Assumptions!$B$14)*(1-Assumptions!$B$15)</f>
        <v>-23790</v>
      </c>
      <c r="L16" s="30" t="n">
        <f aca="false">-L6*(Assumptions!$B$13+Assumptions!$B$14)*(1-Assumptions!$B$15)</f>
        <v>-23790</v>
      </c>
      <c r="M16" s="30" t="n">
        <f aca="false">-M6*(Assumptions!$B$13+Assumptions!$B$14)*(1-Assumptions!$B$15)</f>
        <v>-31720</v>
      </c>
      <c r="N16" s="30" t="n">
        <f aca="false">-N6*(Assumptions!$B$13+Assumptions!$B$14)*(1-Assumptions!$B$15)</f>
        <v>-31720</v>
      </c>
    </row>
    <row r="17" customFormat="false" ht="15" hidden="false" customHeight="false" outlineLevel="0" collapsed="false">
      <c r="A17" s="5" t="s">
        <v>145</v>
      </c>
      <c r="B17" s="30" t="n">
        <f aca="false">SUM(C17:N17)</f>
        <v>-10350</v>
      </c>
      <c r="C17" s="30" t="n">
        <f aca="false">-C6*Assumptions!$B$16</f>
        <v>-0</v>
      </c>
      <c r="D17" s="30" t="n">
        <f aca="false">-D6*Assumptions!$B$16</f>
        <v>-0</v>
      </c>
      <c r="E17" s="30" t="n">
        <f aca="false">-E6*Assumptions!$B$16</f>
        <v>-450</v>
      </c>
      <c r="F17" s="30" t="n">
        <f aca="false">-F6*Assumptions!$B$16</f>
        <v>-450</v>
      </c>
      <c r="G17" s="30" t="n">
        <f aca="false">-G6*Assumptions!$B$16</f>
        <v>-450</v>
      </c>
      <c r="H17" s="30" t="n">
        <f aca="false">-H6*Assumptions!$B$16</f>
        <v>-900</v>
      </c>
      <c r="I17" s="30" t="n">
        <f aca="false">-I6*Assumptions!$B$16</f>
        <v>-900</v>
      </c>
      <c r="J17" s="30" t="n">
        <f aca="false">-J6*Assumptions!$B$16</f>
        <v>-900</v>
      </c>
      <c r="K17" s="30" t="n">
        <f aca="false">-K6*Assumptions!$B$16</f>
        <v>-1350</v>
      </c>
      <c r="L17" s="30" t="n">
        <f aca="false">-L6*Assumptions!$B$16</f>
        <v>-1350</v>
      </c>
      <c r="M17" s="30" t="n">
        <f aca="false">-M6*Assumptions!$B$16</f>
        <v>-1800</v>
      </c>
      <c r="N17" s="30" t="n">
        <f aca="false">-N6*Assumptions!$B$16</f>
        <v>-1800</v>
      </c>
    </row>
    <row r="18" customFormat="false" ht="15" hidden="false" customHeight="false" outlineLevel="0" collapsed="false">
      <c r="A18" s="5" t="s">
        <v>146</v>
      </c>
      <c r="B18" s="30" t="n">
        <f aca="false">SUM(C18:N18)</f>
        <v>-6900</v>
      </c>
      <c r="C18" s="30" t="n">
        <f aca="false">-C6*Assumptions!$B$17</f>
        <v>-0</v>
      </c>
      <c r="D18" s="30" t="n">
        <f aca="false">-D6*Assumptions!$B$17</f>
        <v>-0</v>
      </c>
      <c r="E18" s="30" t="n">
        <f aca="false">-E6*Assumptions!$B$17</f>
        <v>-300</v>
      </c>
      <c r="F18" s="30" t="n">
        <f aca="false">-F6*Assumptions!$B$17</f>
        <v>-300</v>
      </c>
      <c r="G18" s="30" t="n">
        <f aca="false">-G6*Assumptions!$B$17</f>
        <v>-300</v>
      </c>
      <c r="H18" s="30" t="n">
        <f aca="false">-H6*Assumptions!$B$17</f>
        <v>-600</v>
      </c>
      <c r="I18" s="30" t="n">
        <f aca="false">-I6*Assumptions!$B$17</f>
        <v>-600</v>
      </c>
      <c r="J18" s="30" t="n">
        <f aca="false">-J6*Assumptions!$B$17</f>
        <v>-600</v>
      </c>
      <c r="K18" s="30" t="n">
        <f aca="false">-K6*Assumptions!$B$17</f>
        <v>-900</v>
      </c>
      <c r="L18" s="30" t="n">
        <f aca="false">-L6*Assumptions!$B$17</f>
        <v>-900</v>
      </c>
      <c r="M18" s="30" t="n">
        <f aca="false">-M6*Assumptions!$B$17</f>
        <v>-1200</v>
      </c>
      <c r="N18" s="30" t="n">
        <f aca="false">-N6*Assumptions!$B$17</f>
        <v>-1200</v>
      </c>
    </row>
    <row r="19" customFormat="false" ht="15" hidden="false" customHeight="false" outlineLevel="0" collapsed="false">
      <c r="A19" s="5" t="s">
        <v>147</v>
      </c>
      <c r="B19" s="30" t="n">
        <f aca="false">SUM(C19:N19)</f>
        <v>-23000</v>
      </c>
      <c r="C19" s="30" t="n">
        <f aca="false">-C6*Assumptions!$B$18</f>
        <v>-0</v>
      </c>
      <c r="D19" s="30" t="n">
        <f aca="false">-D6*Assumptions!$B$18</f>
        <v>-0</v>
      </c>
      <c r="E19" s="30" t="n">
        <f aca="false">-E6*Assumptions!$B$18</f>
        <v>-1000</v>
      </c>
      <c r="F19" s="30" t="n">
        <f aca="false">-F6*Assumptions!$B$18</f>
        <v>-1000</v>
      </c>
      <c r="G19" s="30" t="n">
        <f aca="false">-G6*Assumptions!$B$18</f>
        <v>-1000</v>
      </c>
      <c r="H19" s="30" t="n">
        <f aca="false">-H6*Assumptions!$B$18</f>
        <v>-2000</v>
      </c>
      <c r="I19" s="30" t="n">
        <f aca="false">-I6*Assumptions!$B$18</f>
        <v>-2000</v>
      </c>
      <c r="J19" s="30" t="n">
        <f aca="false">-J6*Assumptions!$B$18</f>
        <v>-2000</v>
      </c>
      <c r="K19" s="30" t="n">
        <f aca="false">-K6*Assumptions!$B$18</f>
        <v>-3000</v>
      </c>
      <c r="L19" s="30" t="n">
        <f aca="false">-L6*Assumptions!$B$18</f>
        <v>-3000</v>
      </c>
      <c r="M19" s="30" t="n">
        <f aca="false">-M6*Assumptions!$B$18</f>
        <v>-4000</v>
      </c>
      <c r="N19" s="30" t="n">
        <f aca="false">-N6*Assumptions!$B$18</f>
        <v>-4000</v>
      </c>
    </row>
    <row r="20" customFormat="false" ht="15" hidden="false" customHeight="false" outlineLevel="0" collapsed="false">
      <c r="A20" s="5" t="s">
        <v>148</v>
      </c>
      <c r="B20" s="30" t="n">
        <f aca="false">SUM(C20:N20)</f>
        <v>-3450</v>
      </c>
      <c r="C20" s="30" t="n">
        <f aca="false">-C6*Assumptions!$B$19</f>
        <v>-0</v>
      </c>
      <c r="D20" s="30" t="n">
        <f aca="false">-D6*Assumptions!$B$19</f>
        <v>-0</v>
      </c>
      <c r="E20" s="30" t="n">
        <f aca="false">-E6*Assumptions!$B$19</f>
        <v>-150</v>
      </c>
      <c r="F20" s="30" t="n">
        <f aca="false">-F6*Assumptions!$B$19</f>
        <v>-150</v>
      </c>
      <c r="G20" s="30" t="n">
        <f aca="false">-G6*Assumptions!$B$19</f>
        <v>-150</v>
      </c>
      <c r="H20" s="30" t="n">
        <f aca="false">-H6*Assumptions!$B$19</f>
        <v>-300</v>
      </c>
      <c r="I20" s="30" t="n">
        <f aca="false">-I6*Assumptions!$B$19</f>
        <v>-300</v>
      </c>
      <c r="J20" s="30" t="n">
        <f aca="false">-J6*Assumptions!$B$19</f>
        <v>-300</v>
      </c>
      <c r="K20" s="30" t="n">
        <f aca="false">-K6*Assumptions!$B$19</f>
        <v>-450</v>
      </c>
      <c r="L20" s="30" t="n">
        <f aca="false">-L6*Assumptions!$B$19</f>
        <v>-450</v>
      </c>
      <c r="M20" s="30" t="n">
        <f aca="false">-M6*Assumptions!$B$19</f>
        <v>-600</v>
      </c>
      <c r="N20" s="30" t="n">
        <f aca="false">-N6*Assumptions!$B$19</f>
        <v>-600</v>
      </c>
    </row>
    <row r="21" customFormat="false" ht="15" hidden="false" customHeight="false" outlineLevel="0" collapsed="false">
      <c r="A21" s="5" t="s">
        <v>40</v>
      </c>
      <c r="B21" s="30" t="n">
        <f aca="false">SUM(C21:N21)</f>
        <v>-4830</v>
      </c>
      <c r="C21" s="30" t="n">
        <f aca="false">-C6*Assumptions!$B$8*Assumptions!$B$10</f>
        <v>-0</v>
      </c>
      <c r="D21" s="30" t="n">
        <f aca="false">-D6*Assumptions!$B$8*Assumptions!$B$10</f>
        <v>-0</v>
      </c>
      <c r="E21" s="30" t="n">
        <f aca="false">-E6*Assumptions!$B$8*Assumptions!$B$10</f>
        <v>-210</v>
      </c>
      <c r="F21" s="30" t="n">
        <f aca="false">-F6*Assumptions!$B$8*Assumptions!$B$10</f>
        <v>-210</v>
      </c>
      <c r="G21" s="30" t="n">
        <f aca="false">-G6*Assumptions!$B$8*Assumptions!$B$10</f>
        <v>-210</v>
      </c>
      <c r="H21" s="30" t="n">
        <f aca="false">-H6*Assumptions!$B$8*Assumptions!$B$10</f>
        <v>-420</v>
      </c>
      <c r="I21" s="30" t="n">
        <f aca="false">-I6*Assumptions!$B$8*Assumptions!$B$10</f>
        <v>-420</v>
      </c>
      <c r="J21" s="30" t="n">
        <f aca="false">-J6*Assumptions!$B$8*Assumptions!$B$10</f>
        <v>-420</v>
      </c>
      <c r="K21" s="30" t="n">
        <f aca="false">-K6*Assumptions!$B$8*Assumptions!$B$10</f>
        <v>-630</v>
      </c>
      <c r="L21" s="30" t="n">
        <f aca="false">-L6*Assumptions!$B$8*Assumptions!$B$10</f>
        <v>-630</v>
      </c>
      <c r="M21" s="30" t="n">
        <f aca="false">-M6*Assumptions!$B$8*Assumptions!$B$10</f>
        <v>-840</v>
      </c>
      <c r="N21" s="30" t="n">
        <f aca="false">-N6*Assumptions!$B$8*Assumptions!$B$10</f>
        <v>-840</v>
      </c>
    </row>
    <row r="22" customFormat="false" ht="15" hidden="false" customHeight="false" outlineLevel="0" collapsed="false">
      <c r="A22" s="5" t="s">
        <v>149</v>
      </c>
      <c r="B22" s="30" t="n">
        <f aca="false">SUM(C22:N22)</f>
        <v>-162</v>
      </c>
      <c r="C22" s="30" t="n">
        <f aca="true">IF(C$4&gt;Assumptions!$B$23,-OFFSET(C6,0,-Assumptions!$B$23)*Assumptions!$B$22*Assumptions!$B$24,0)</f>
        <v>0</v>
      </c>
      <c r="D22" s="30" t="n">
        <f aca="true">IF(D$4&gt;Assumptions!$B$23,-OFFSET(D6,0,-Assumptions!$B$23)*Assumptions!$B$22*Assumptions!$B$24,0)</f>
        <v>0</v>
      </c>
      <c r="E22" s="30" t="n">
        <f aca="true">IF(E$4&gt;Assumptions!$B$23,-OFFSET(E6,0,-Assumptions!$B$23)*Assumptions!$B$22*Assumptions!$B$24,0)</f>
        <v>0</v>
      </c>
      <c r="F22" s="30" t="n">
        <f aca="true">IF(F$4&gt;Assumptions!$B$23,-OFFSET(F6,0,-Assumptions!$B$23)*Assumptions!$B$22*Assumptions!$B$24,0)</f>
        <v>-0</v>
      </c>
      <c r="G22" s="30" t="n">
        <f aca="true">IF(G$4&gt;Assumptions!$B$23,-OFFSET(G6,0,-Assumptions!$B$23)*Assumptions!$B$22*Assumptions!$B$24,0)</f>
        <v>-0</v>
      </c>
      <c r="H22" s="30" t="n">
        <f aca="true">IF(H$4&gt;Assumptions!$B$23,-OFFSET(H6,0,-Assumptions!$B$23)*Assumptions!$B$22*Assumptions!$B$24,0)</f>
        <v>-13.5</v>
      </c>
      <c r="I22" s="30" t="n">
        <f aca="true">IF(I$4&gt;Assumptions!$B$23,-OFFSET(I6,0,-Assumptions!$B$23)*Assumptions!$B$22*Assumptions!$B$24,0)</f>
        <v>-13.5</v>
      </c>
      <c r="J22" s="30" t="n">
        <f aca="true">IF(J$4&gt;Assumptions!$B$23,-OFFSET(J6,0,-Assumptions!$B$23)*Assumptions!$B$22*Assumptions!$B$24,0)</f>
        <v>-13.5</v>
      </c>
      <c r="K22" s="30" t="n">
        <f aca="true">IF(K$4&gt;Assumptions!$B$23,-OFFSET(K6,0,-Assumptions!$B$23)*Assumptions!$B$22*Assumptions!$B$24,0)</f>
        <v>-27</v>
      </c>
      <c r="L22" s="30" t="n">
        <f aca="true">IF(L$4&gt;Assumptions!$B$23,-OFFSET(L6,0,-Assumptions!$B$23)*Assumptions!$B$22*Assumptions!$B$24,0)</f>
        <v>-27</v>
      </c>
      <c r="M22" s="30" t="n">
        <f aca="true">IF(M$4&gt;Assumptions!$B$23,-OFFSET(M6,0,-Assumptions!$B$23)*Assumptions!$B$22*Assumptions!$B$24,0)</f>
        <v>-27</v>
      </c>
      <c r="N22" s="30" t="n">
        <f aca="true">IF(N$4&gt;Assumptions!$B$23,-OFFSET(N6,0,-Assumptions!$B$23)*Assumptions!$B$22*Assumptions!$B$24,0)</f>
        <v>-40.5</v>
      </c>
    </row>
    <row r="23" customFormat="false" ht="15" hidden="false" customHeight="false" outlineLevel="0" collapsed="false">
      <c r="A23" s="5" t="s">
        <v>150</v>
      </c>
      <c r="B23" s="30" t="n">
        <f aca="false">SUM(C23:N23)</f>
        <v>-20486.2035</v>
      </c>
      <c r="C23" s="30" t="n">
        <f aca="false">-(C10+C11)*Assumptions!$B$20</f>
        <v>-0</v>
      </c>
      <c r="D23" s="30" t="n">
        <f aca="false">-(D10+D11)*Assumptions!$B$20</f>
        <v>-0</v>
      </c>
      <c r="E23" s="30" t="n">
        <f aca="false">-(E10+E11)*Assumptions!$B$20</f>
        <v>-890.7045</v>
      </c>
      <c r="F23" s="30" t="n">
        <f aca="false">-(F10+F11)*Assumptions!$B$20</f>
        <v>-890.7045</v>
      </c>
      <c r="G23" s="30" t="n">
        <f aca="false">-(G10+G11)*Assumptions!$B$20</f>
        <v>-890.7045</v>
      </c>
      <c r="H23" s="30" t="n">
        <f aca="false">-(H10+H11)*Assumptions!$B$20</f>
        <v>-1781.409</v>
      </c>
      <c r="I23" s="30" t="n">
        <f aca="false">-(I10+I11)*Assumptions!$B$20</f>
        <v>-1781.409</v>
      </c>
      <c r="J23" s="30" t="n">
        <f aca="false">-(J10+J11)*Assumptions!$B$20</f>
        <v>-1781.409</v>
      </c>
      <c r="K23" s="30" t="n">
        <f aca="false">-(K10+K11)*Assumptions!$B$20</f>
        <v>-2672.1135</v>
      </c>
      <c r="L23" s="30" t="n">
        <f aca="false">-(L10+L11)*Assumptions!$B$20</f>
        <v>-2672.1135</v>
      </c>
      <c r="M23" s="30" t="n">
        <f aca="false">-(M10+M11)*Assumptions!$B$20</f>
        <v>-3562.818</v>
      </c>
      <c r="N23" s="30" t="n">
        <f aca="false">-(N10+N11)*Assumptions!$B$20</f>
        <v>-3562.818</v>
      </c>
    </row>
    <row r="24" customFormat="false" ht="15" hidden="false" customHeight="false" outlineLevel="0" collapsed="false">
      <c r="A24" s="5" t="s">
        <v>151</v>
      </c>
      <c r="B24" s="30" t="n">
        <f aca="false">SUM(C24:N24)</f>
        <v>-5750</v>
      </c>
      <c r="C24" s="30" t="n">
        <f aca="false">-C6*Assumptions!$B$21</f>
        <v>-0</v>
      </c>
      <c r="D24" s="30" t="n">
        <f aca="false">-D6*Assumptions!$B$21</f>
        <v>-0</v>
      </c>
      <c r="E24" s="30" t="n">
        <f aca="false">-E6*Assumptions!$B$21</f>
        <v>-250</v>
      </c>
      <c r="F24" s="30" t="n">
        <f aca="false">-F6*Assumptions!$B$21</f>
        <v>-250</v>
      </c>
      <c r="G24" s="30" t="n">
        <f aca="false">-G6*Assumptions!$B$21</f>
        <v>-250</v>
      </c>
      <c r="H24" s="30" t="n">
        <f aca="false">-H6*Assumptions!$B$21</f>
        <v>-500</v>
      </c>
      <c r="I24" s="30" t="n">
        <f aca="false">-I6*Assumptions!$B$21</f>
        <v>-500</v>
      </c>
      <c r="J24" s="30" t="n">
        <f aca="false">-J6*Assumptions!$B$21</f>
        <v>-500</v>
      </c>
      <c r="K24" s="30" t="n">
        <f aca="false">-K6*Assumptions!$B$21</f>
        <v>-750</v>
      </c>
      <c r="L24" s="30" t="n">
        <f aca="false">-L6*Assumptions!$B$21</f>
        <v>-750</v>
      </c>
      <c r="M24" s="30" t="n">
        <f aca="false">-M6*Assumptions!$B$21</f>
        <v>-1000</v>
      </c>
      <c r="N24" s="30" t="n">
        <f aca="false">-N6*Assumptions!$B$21</f>
        <v>-1000</v>
      </c>
    </row>
    <row r="25" customFormat="false" ht="15" hidden="false" customHeight="false" outlineLevel="0" collapsed="false">
      <c r="A25" s="8" t="s">
        <v>152</v>
      </c>
      <c r="B25" s="31" t="n">
        <f aca="false">SUM(C25:N25)</f>
        <v>-257318.2035</v>
      </c>
      <c r="C25" s="31" t="n">
        <f aca="false">SUM(C16:C24)</f>
        <v>0</v>
      </c>
      <c r="D25" s="31" t="n">
        <f aca="false">SUM(D16:D24)</f>
        <v>0</v>
      </c>
      <c r="E25" s="31" t="n">
        <f aca="false">SUM(E16:E24)</f>
        <v>-11180.7045</v>
      </c>
      <c r="F25" s="31" t="n">
        <f aca="false">SUM(F16:F24)</f>
        <v>-11180.7045</v>
      </c>
      <c r="G25" s="31" t="n">
        <f aca="false">SUM(G16:G24)</f>
        <v>-11180.7045</v>
      </c>
      <c r="H25" s="31" t="n">
        <f aca="false">SUM(H16:H24)</f>
        <v>-22374.909</v>
      </c>
      <c r="I25" s="31" t="n">
        <f aca="false">SUM(I16:I24)</f>
        <v>-22374.909</v>
      </c>
      <c r="J25" s="31" t="n">
        <f aca="false">SUM(J16:J24)</f>
        <v>-22374.909</v>
      </c>
      <c r="K25" s="31" t="n">
        <f aca="false">SUM(K16:K24)</f>
        <v>-33569.1135</v>
      </c>
      <c r="L25" s="31" t="n">
        <f aca="false">SUM(L16:L24)</f>
        <v>-33569.1135</v>
      </c>
      <c r="M25" s="31" t="n">
        <f aca="false">SUM(M16:M24)</f>
        <v>-44749.818</v>
      </c>
      <c r="N25" s="31" t="n">
        <f aca="false">SUM(N16:N24)</f>
        <v>-44763.318</v>
      </c>
    </row>
    <row r="27" customFormat="false" ht="15" hidden="false" customHeight="false" outlineLevel="0" collapsed="false">
      <c r="A27" s="8" t="s">
        <v>10</v>
      </c>
      <c r="B27" s="31" t="n">
        <f aca="false">SUM(C27:N27)</f>
        <v>319002.2565</v>
      </c>
      <c r="C27" s="31" t="n">
        <f aca="false">C13+C25</f>
        <v>0</v>
      </c>
      <c r="D27" s="31" t="n">
        <f aca="false">D13+D25</f>
        <v>0</v>
      </c>
      <c r="E27" s="31" t="n">
        <f aca="false">E13+E25</f>
        <v>14267.9955</v>
      </c>
      <c r="F27" s="31" t="n">
        <f aca="false">F13+F25</f>
        <v>14267.9955</v>
      </c>
      <c r="G27" s="31" t="n">
        <f aca="false">G13+G25</f>
        <v>14267.9955</v>
      </c>
      <c r="H27" s="31" t="n">
        <f aca="false">H13+H25</f>
        <v>27772.521</v>
      </c>
      <c r="I27" s="31" t="n">
        <f aca="false">I13+I25</f>
        <v>27772.521</v>
      </c>
      <c r="J27" s="31" t="n">
        <f aca="false">J13+J25</f>
        <v>27772.521</v>
      </c>
      <c r="K27" s="31" t="n">
        <f aca="false">K13+K25</f>
        <v>41277.0465</v>
      </c>
      <c r="L27" s="31" t="n">
        <f aca="false">L13+L25</f>
        <v>41277.0465</v>
      </c>
      <c r="M27" s="31" t="n">
        <f aca="false">M13+M25</f>
        <v>55545.042</v>
      </c>
      <c r="N27" s="31" t="n">
        <f aca="false">N13+N25</f>
        <v>54781.572</v>
      </c>
    </row>
    <row r="29" customFormat="false" ht="15" hidden="false" customHeight="false" outlineLevel="0" collapsed="false">
      <c r="A29" s="3" t="s">
        <v>153</v>
      </c>
      <c r="B29" s="3"/>
      <c r="C29" s="3"/>
      <c r="D29" s="3"/>
      <c r="E29" s="3"/>
      <c r="F29" s="3"/>
      <c r="G29" s="3"/>
      <c r="H29" s="3"/>
      <c r="I29" s="3"/>
      <c r="J29" s="3"/>
      <c r="K29" s="3"/>
      <c r="L29" s="3"/>
      <c r="M29" s="3"/>
      <c r="N29" s="3"/>
    </row>
    <row r="30" customFormat="false" ht="15" hidden="false" customHeight="false" outlineLevel="0" collapsed="false">
      <c r="A30" s="5" t="s">
        <v>12</v>
      </c>
      <c r="B30" s="30" t="n">
        <f aca="false">SUM(C30:N30)</f>
        <v>-108000</v>
      </c>
      <c r="C30" s="14" t="n">
        <f aca="false">-Assumptions!C64</f>
        <v>-0</v>
      </c>
      <c r="D30" s="14" t="n">
        <f aca="false">-Assumptions!D64</f>
        <v>-8000</v>
      </c>
      <c r="E30" s="14" t="n">
        <f aca="false">-Assumptions!E64</f>
        <v>-10000</v>
      </c>
      <c r="F30" s="14" t="n">
        <f aca="false">-Assumptions!F64</f>
        <v>-10000</v>
      </c>
      <c r="G30" s="14" t="n">
        <f aca="false">-Assumptions!G64</f>
        <v>-10000</v>
      </c>
      <c r="H30" s="14" t="n">
        <f aca="false">-Assumptions!H64</f>
        <v>-10000</v>
      </c>
      <c r="I30" s="14" t="n">
        <f aca="false">-Assumptions!I64</f>
        <v>-10000</v>
      </c>
      <c r="J30" s="14" t="n">
        <f aca="false">-Assumptions!J64</f>
        <v>-10000</v>
      </c>
      <c r="K30" s="14" t="n">
        <f aca="false">-Assumptions!K64</f>
        <v>-10000</v>
      </c>
      <c r="L30" s="14" t="n">
        <f aca="false">-Assumptions!L64</f>
        <v>-10000</v>
      </c>
      <c r="M30" s="14" t="n">
        <f aca="false">-Assumptions!M64</f>
        <v>-10000</v>
      </c>
      <c r="N30" s="14" t="n">
        <f aca="false">-Assumptions!N64</f>
        <v>-10000</v>
      </c>
    </row>
    <row r="31" customFormat="false" ht="15" hidden="false" customHeight="false" outlineLevel="0" collapsed="false">
      <c r="A31" s="5" t="s">
        <v>14</v>
      </c>
      <c r="B31" s="30" t="n">
        <f aca="false">SUM(C31:N31)</f>
        <v>-24500</v>
      </c>
      <c r="C31" s="30" t="n">
        <f aca="false">-SUMPRODUCT((Assumptions!$C$38:$C$43&lt;=C$4)*Assumptions!$B$38:$B$43)</f>
        <v>-850</v>
      </c>
      <c r="D31" s="30" t="n">
        <f aca="false">-SUMPRODUCT((Assumptions!$C$38:$C$43&lt;=D$4)*Assumptions!$B$38:$B$43)</f>
        <v>-2150</v>
      </c>
      <c r="E31" s="30" t="n">
        <f aca="false">-SUMPRODUCT((Assumptions!$C$38:$C$43&lt;=E$4)*Assumptions!$B$38:$B$43)</f>
        <v>-2150</v>
      </c>
      <c r="F31" s="30" t="n">
        <f aca="false">-SUMPRODUCT((Assumptions!$C$38:$C$43&lt;=F$4)*Assumptions!$B$38:$B$43)</f>
        <v>-2150</v>
      </c>
      <c r="G31" s="30" t="n">
        <f aca="false">-SUMPRODUCT((Assumptions!$C$38:$C$43&lt;=G$4)*Assumptions!$B$38:$B$43)</f>
        <v>-2150</v>
      </c>
      <c r="H31" s="30" t="n">
        <f aca="false">-SUMPRODUCT((Assumptions!$C$38:$C$43&lt;=H$4)*Assumptions!$B$38:$B$43)</f>
        <v>-2150</v>
      </c>
      <c r="I31" s="30" t="n">
        <f aca="false">-SUMPRODUCT((Assumptions!$C$38:$C$43&lt;=I$4)*Assumptions!$B$38:$B$43)</f>
        <v>-2150</v>
      </c>
      <c r="J31" s="30" t="n">
        <f aca="false">-SUMPRODUCT((Assumptions!$C$38:$C$43&lt;=J$4)*Assumptions!$B$38:$B$43)</f>
        <v>-2150</v>
      </c>
      <c r="K31" s="30" t="n">
        <f aca="false">-SUMPRODUCT((Assumptions!$C$38:$C$43&lt;=K$4)*Assumptions!$B$38:$B$43)</f>
        <v>-2150</v>
      </c>
      <c r="L31" s="30" t="n">
        <f aca="false">-SUMPRODUCT((Assumptions!$C$38:$C$43&lt;=L$4)*Assumptions!$B$38:$B$43)</f>
        <v>-2150</v>
      </c>
      <c r="M31" s="30" t="n">
        <f aca="false">-SUMPRODUCT((Assumptions!$C$38:$C$43&lt;=M$4)*Assumptions!$B$38:$B$43)</f>
        <v>-2150</v>
      </c>
      <c r="N31" s="30" t="n">
        <f aca="false">-SUMPRODUCT((Assumptions!$C$38:$C$43&lt;=N$4)*Assumptions!$B$38:$B$43)</f>
        <v>-2150</v>
      </c>
    </row>
    <row r="32" customFormat="false" ht="15" hidden="false" customHeight="false" outlineLevel="0" collapsed="false">
      <c r="A32" s="5" t="s">
        <v>15</v>
      </c>
      <c r="B32" s="30" t="n">
        <f aca="false">SUM(C32:N32)</f>
        <v>-20380</v>
      </c>
      <c r="C32" s="30" t="n">
        <f aca="false">-SUMIF(Assumptions!$C$48:$C$58,C$4,Assumptions!$B$48:$B$58)</f>
        <v>-10380</v>
      </c>
      <c r="D32" s="30" t="n">
        <f aca="false">-SUMIF(Assumptions!$C$48:$C$58,D$4,Assumptions!$B$48:$B$58)</f>
        <v>-5000</v>
      </c>
      <c r="E32" s="30" t="n">
        <f aca="false">-SUMIF(Assumptions!$C$48:$C$58,E$4,Assumptions!$B$48:$B$58)</f>
        <v>-5000</v>
      </c>
      <c r="F32" s="30" t="n">
        <f aca="false">-SUMIF(Assumptions!$C$48:$C$58,F$4,Assumptions!$B$48:$B$58)</f>
        <v>-0</v>
      </c>
      <c r="G32" s="30" t="n">
        <f aca="false">-SUMIF(Assumptions!$C$48:$C$58,G$4,Assumptions!$B$48:$B$58)</f>
        <v>-0</v>
      </c>
      <c r="H32" s="30" t="n">
        <f aca="false">-SUMIF(Assumptions!$C$48:$C$58,H$4,Assumptions!$B$48:$B$58)</f>
        <v>-0</v>
      </c>
      <c r="I32" s="30" t="n">
        <f aca="false">-SUMIF(Assumptions!$C$48:$C$58,I$4,Assumptions!$B$48:$B$58)</f>
        <v>-0</v>
      </c>
      <c r="J32" s="30" t="n">
        <f aca="false">-SUMIF(Assumptions!$C$48:$C$58,J$4,Assumptions!$B$48:$B$58)</f>
        <v>-0</v>
      </c>
      <c r="K32" s="30" t="n">
        <f aca="false">-SUMIF(Assumptions!$C$48:$C$58,K$4,Assumptions!$B$48:$B$58)</f>
        <v>-0</v>
      </c>
      <c r="L32" s="30" t="n">
        <f aca="false">-SUMIF(Assumptions!$C$48:$C$58,L$4,Assumptions!$B$48:$B$58)</f>
        <v>-0</v>
      </c>
      <c r="M32" s="30" t="n">
        <f aca="false">-SUMIF(Assumptions!$C$48:$C$58,M$4,Assumptions!$B$48:$B$58)</f>
        <v>-0</v>
      </c>
      <c r="N32" s="30" t="n">
        <f aca="false">-SUMIF(Assumptions!$C$48:$C$58,N$4,Assumptions!$B$48:$B$58)</f>
        <v>-0</v>
      </c>
    </row>
    <row r="33" customFormat="false" ht="15" hidden="false" customHeight="false" outlineLevel="0" collapsed="false">
      <c r="A33" s="5" t="s">
        <v>154</v>
      </c>
      <c r="B33" s="30" t="n">
        <f aca="false">SUM(C33:N33)</f>
        <v>0</v>
      </c>
      <c r="C33" s="30" t="n">
        <f aca="false">IF(C$4&gt;=$B$46,-(C13+SUM(C16:C22))*Assumptions!$B$28/(1+Assumptions!$B$28),0)</f>
        <v>0</v>
      </c>
      <c r="D33" s="30" t="n">
        <f aca="false">IF(D$4&gt;=$B$46,-(D13+SUM(D16:D22))*Assumptions!$B$28/(1+Assumptions!$B$28),0)</f>
        <v>0</v>
      </c>
      <c r="E33" s="30" t="n">
        <f aca="false">IF(E$4&gt;=$B$46,-(E13+SUM(E16:E22))*Assumptions!$B$28/(1+Assumptions!$B$28),0)</f>
        <v>0</v>
      </c>
      <c r="F33" s="30" t="n">
        <f aca="false">IF(F$4&gt;=$B$46,-(F13+SUM(F16:F22))*Assumptions!$B$28/(1+Assumptions!$B$28),0)</f>
        <v>0</v>
      </c>
      <c r="G33" s="30" t="n">
        <f aca="false">IF(G$4&gt;=$B$46,-(G13+SUM(G16:G22))*Assumptions!$B$28/(1+Assumptions!$B$28),0)</f>
        <v>0</v>
      </c>
      <c r="H33" s="30" t="n">
        <f aca="false">IF(H$4&gt;=$B$46,-(H13+SUM(H16:H22))*Assumptions!$B$28/(1+Assumptions!$B$28),0)</f>
        <v>0</v>
      </c>
      <c r="I33" s="30" t="n">
        <f aca="false">IF(I$4&gt;=$B$46,-(I13+SUM(I16:I22))*Assumptions!$B$28/(1+Assumptions!$B$28),0)</f>
        <v>0</v>
      </c>
      <c r="J33" s="30" t="n">
        <f aca="false">IF(J$4&gt;=$B$46,-(J13+SUM(J16:J22))*Assumptions!$B$28/(1+Assumptions!$B$28),0)</f>
        <v>0</v>
      </c>
      <c r="K33" s="30" t="n">
        <f aca="false">IF(K$4&gt;=$B$46,-(K13+SUM(K16:K22))*Assumptions!$B$28/(1+Assumptions!$B$28),0)</f>
        <v>0</v>
      </c>
      <c r="L33" s="30" t="n">
        <f aca="false">IF(L$4&gt;=$B$46,-(L13+SUM(L16:L22))*Assumptions!$B$28/(1+Assumptions!$B$28),0)</f>
        <v>0</v>
      </c>
      <c r="M33" s="30" t="n">
        <f aca="false">IF(M$4&gt;=$B$46,-(M13+SUM(M16:M22))*Assumptions!$B$28/(1+Assumptions!$B$28),0)</f>
        <v>0</v>
      </c>
      <c r="N33" s="30" t="n">
        <f aca="false">IF(N$4&gt;=$B$46,-(N13+SUM(N16:N22))*Assumptions!$B$28/(1+Assumptions!$B$28),0)</f>
        <v>0</v>
      </c>
    </row>
    <row r="34" customFormat="false" ht="15" hidden="false" customHeight="false" outlineLevel="0" collapsed="false">
      <c r="A34" s="8" t="s">
        <v>155</v>
      </c>
      <c r="B34" s="31" t="n">
        <f aca="false">SUM(C34:N34)</f>
        <v>-152880</v>
      </c>
      <c r="C34" s="31" t="n">
        <f aca="false">SUM(C30:C33)</f>
        <v>-11230</v>
      </c>
      <c r="D34" s="31" t="n">
        <f aca="false">SUM(D30:D33)</f>
        <v>-15150</v>
      </c>
      <c r="E34" s="31" t="n">
        <f aca="false">SUM(E30:E33)</f>
        <v>-17150</v>
      </c>
      <c r="F34" s="31" t="n">
        <f aca="false">SUM(F30:F33)</f>
        <v>-12150</v>
      </c>
      <c r="G34" s="31" t="n">
        <f aca="false">SUM(G30:G33)</f>
        <v>-12150</v>
      </c>
      <c r="H34" s="31" t="n">
        <f aca="false">SUM(H30:H33)</f>
        <v>-12150</v>
      </c>
      <c r="I34" s="31" t="n">
        <f aca="false">SUM(I30:I33)</f>
        <v>-12150</v>
      </c>
      <c r="J34" s="31" t="n">
        <f aca="false">SUM(J30:J33)</f>
        <v>-12150</v>
      </c>
      <c r="K34" s="31" t="n">
        <f aca="false">SUM(K30:K33)</f>
        <v>-12150</v>
      </c>
      <c r="L34" s="31" t="n">
        <f aca="false">SUM(L30:L33)</f>
        <v>-12150</v>
      </c>
      <c r="M34" s="31" t="n">
        <f aca="false">SUM(M30:M33)</f>
        <v>-12150</v>
      </c>
      <c r="N34" s="31" t="n">
        <f aca="false">SUM(N30:N33)</f>
        <v>-12150</v>
      </c>
    </row>
    <row r="36" customFormat="false" ht="15" hidden="false" customHeight="false" outlineLevel="0" collapsed="false">
      <c r="A36" s="8" t="s">
        <v>156</v>
      </c>
      <c r="B36" s="31" t="n">
        <f aca="false">SUM(C36:N36)</f>
        <v>166122.2565</v>
      </c>
      <c r="C36" s="31" t="n">
        <f aca="false">C27+C34</f>
        <v>-11230</v>
      </c>
      <c r="D36" s="31" t="n">
        <f aca="false">D27+D34</f>
        <v>-15150</v>
      </c>
      <c r="E36" s="31" t="n">
        <f aca="false">E27+E34</f>
        <v>-2882.0045</v>
      </c>
      <c r="F36" s="31" t="n">
        <f aca="false">F27+F34</f>
        <v>2117.9955</v>
      </c>
      <c r="G36" s="31" t="n">
        <f aca="false">G27+G34</f>
        <v>2117.9955</v>
      </c>
      <c r="H36" s="31" t="n">
        <f aca="false">H27+H34</f>
        <v>15622.521</v>
      </c>
      <c r="I36" s="31" t="n">
        <f aca="false">I27+I34</f>
        <v>15622.521</v>
      </c>
      <c r="J36" s="31" t="n">
        <f aca="false">J27+J34</f>
        <v>15622.521</v>
      </c>
      <c r="K36" s="31" t="n">
        <f aca="false">K27+K34</f>
        <v>29127.0465</v>
      </c>
      <c r="L36" s="31" t="n">
        <f aca="false">L27+L34</f>
        <v>29127.0465</v>
      </c>
      <c r="M36" s="31" t="n">
        <f aca="false">M27+M34</f>
        <v>43395.042</v>
      </c>
      <c r="N36" s="31" t="n">
        <f aca="false">N27+N34</f>
        <v>42631.572</v>
      </c>
    </row>
    <row r="37" customFormat="false" ht="15" hidden="false" customHeight="false" outlineLevel="0" collapsed="false">
      <c r="A37" s="5" t="s">
        <v>74</v>
      </c>
      <c r="B37" s="30" t="n">
        <f aca="false">SUM(C37:N37)</f>
        <v>40000</v>
      </c>
      <c r="C37" s="30" t="n">
        <f aca="false">IF(C$4=Assumptions!$B$34,Assumptions!$B$33,0)</f>
        <v>40000</v>
      </c>
      <c r="D37" s="30" t="n">
        <f aca="false">IF(D$4=Assumptions!$B$34,Assumptions!$B$33,0)</f>
        <v>0</v>
      </c>
      <c r="E37" s="30" t="n">
        <f aca="false">IF(E$4=Assumptions!$B$34,Assumptions!$B$33,0)</f>
        <v>0</v>
      </c>
      <c r="F37" s="30" t="n">
        <f aca="false">IF(F$4=Assumptions!$B$34,Assumptions!$B$33,0)</f>
        <v>0</v>
      </c>
      <c r="G37" s="30" t="n">
        <f aca="false">IF(G$4=Assumptions!$B$34,Assumptions!$B$33,0)</f>
        <v>0</v>
      </c>
      <c r="H37" s="30" t="n">
        <f aca="false">IF(H$4=Assumptions!$B$34,Assumptions!$B$33,0)</f>
        <v>0</v>
      </c>
      <c r="I37" s="30" t="n">
        <f aca="false">IF(I$4=Assumptions!$B$34,Assumptions!$B$33,0)</f>
        <v>0</v>
      </c>
      <c r="J37" s="30" t="n">
        <f aca="false">IF(J$4=Assumptions!$B$34,Assumptions!$B$33,0)</f>
        <v>0</v>
      </c>
      <c r="K37" s="30" t="n">
        <f aca="false">IF(K$4=Assumptions!$B$34,Assumptions!$B$33,0)</f>
        <v>0</v>
      </c>
      <c r="L37" s="30" t="n">
        <f aca="false">IF(L$4=Assumptions!$B$34,Assumptions!$B$33,0)</f>
        <v>0</v>
      </c>
      <c r="M37" s="30" t="n">
        <f aca="false">IF(M$4=Assumptions!$B$34,Assumptions!$B$33,0)</f>
        <v>0</v>
      </c>
      <c r="N37" s="30" t="n">
        <f aca="false">IF(N$4=Assumptions!$B$34,Assumptions!$B$33,0)</f>
        <v>0</v>
      </c>
    </row>
    <row r="38" customFormat="false" ht="15" hidden="false" customHeight="false" outlineLevel="0" collapsed="false">
      <c r="A38" s="5" t="s">
        <v>157</v>
      </c>
      <c r="C38" s="30" t="n">
        <f aca="false">0</f>
        <v>0</v>
      </c>
      <c r="D38" s="30" t="n">
        <f aca="false">C39</f>
        <v>28770</v>
      </c>
      <c r="E38" s="30" t="n">
        <f aca="false">D39</f>
        <v>13620</v>
      </c>
      <c r="F38" s="30" t="n">
        <f aca="false">E39</f>
        <v>10737.9955</v>
      </c>
      <c r="G38" s="30" t="n">
        <f aca="false">F39</f>
        <v>12855.991</v>
      </c>
      <c r="H38" s="30" t="n">
        <f aca="false">G39</f>
        <v>14973.9865</v>
      </c>
      <c r="I38" s="30" t="n">
        <f aca="false">H39</f>
        <v>30596.5075</v>
      </c>
      <c r="J38" s="30" t="n">
        <f aca="false">I39</f>
        <v>46219.0285</v>
      </c>
      <c r="K38" s="30" t="n">
        <f aca="false">J39</f>
        <v>61841.5495</v>
      </c>
      <c r="L38" s="30" t="n">
        <f aca="false">K39</f>
        <v>90968.596</v>
      </c>
      <c r="M38" s="30" t="n">
        <f aca="false">L39</f>
        <v>120095.6425</v>
      </c>
      <c r="N38" s="30" t="n">
        <f aca="false">M39</f>
        <v>163490.6845</v>
      </c>
    </row>
    <row r="39" customFormat="false" ht="15" hidden="false" customHeight="false" outlineLevel="0" collapsed="false">
      <c r="A39" s="8" t="s">
        <v>158</v>
      </c>
      <c r="B39" s="32"/>
      <c r="C39" s="31" t="n">
        <f aca="false">C38+C36+C37</f>
        <v>28770</v>
      </c>
      <c r="D39" s="31" t="n">
        <f aca="false">D38+D36+D37</f>
        <v>13620</v>
      </c>
      <c r="E39" s="31" t="n">
        <f aca="false">E38+E36+E37</f>
        <v>10737.9955</v>
      </c>
      <c r="F39" s="31" t="n">
        <f aca="false">F38+F36+F37</f>
        <v>12855.991</v>
      </c>
      <c r="G39" s="31" t="n">
        <f aca="false">G38+G36+G37</f>
        <v>14973.9865</v>
      </c>
      <c r="H39" s="31" t="n">
        <f aca="false">H38+H36+H37</f>
        <v>30596.5075</v>
      </c>
      <c r="I39" s="31" t="n">
        <f aca="false">I38+I36+I37</f>
        <v>46219.0285</v>
      </c>
      <c r="J39" s="31" t="n">
        <f aca="false">J38+J36+J37</f>
        <v>61841.5495</v>
      </c>
      <c r="K39" s="31" t="n">
        <f aca="false">K38+K36+K37</f>
        <v>90968.596</v>
      </c>
      <c r="L39" s="31" t="n">
        <f aca="false">L38+L36+L37</f>
        <v>120095.6425</v>
      </c>
      <c r="M39" s="31" t="n">
        <f aca="false">M38+M36+M37</f>
        <v>163490.6845</v>
      </c>
      <c r="N39" s="31" t="n">
        <f aca="false">N38+N36+N37</f>
        <v>206122.2565</v>
      </c>
    </row>
    <row r="41" customFormat="false" ht="15" hidden="false" customHeight="false" outlineLevel="0" collapsed="false">
      <c r="A41" s="3" t="s">
        <v>159</v>
      </c>
      <c r="B41" s="3"/>
      <c r="C41" s="3"/>
      <c r="D41" s="3"/>
      <c r="E41" s="3"/>
      <c r="F41" s="3"/>
      <c r="G41" s="3"/>
      <c r="H41" s="3"/>
      <c r="I41" s="3"/>
      <c r="J41" s="3"/>
      <c r="K41" s="3"/>
      <c r="L41" s="3"/>
      <c r="M41" s="3"/>
      <c r="N41" s="3"/>
    </row>
    <row r="42" customFormat="false" ht="15" hidden="false" customHeight="false" outlineLevel="0" collapsed="false">
      <c r="A42" s="5" t="s">
        <v>160</v>
      </c>
      <c r="C42" s="30" t="n">
        <f aca="false">C36</f>
        <v>-11230</v>
      </c>
      <c r="D42" s="30" t="n">
        <f aca="false">C42+D36</f>
        <v>-26380</v>
      </c>
      <c r="E42" s="30" t="n">
        <f aca="false">D42+E36</f>
        <v>-29262.0045</v>
      </c>
      <c r="F42" s="30" t="n">
        <f aca="false">E42+F36</f>
        <v>-27144.009</v>
      </c>
      <c r="G42" s="30" t="n">
        <f aca="false">F42+G36</f>
        <v>-25026.0135</v>
      </c>
      <c r="H42" s="30" t="n">
        <f aca="false">G42+H36</f>
        <v>-9403.4925</v>
      </c>
      <c r="I42" s="30" t="n">
        <f aca="false">H42+I36</f>
        <v>6219.0285</v>
      </c>
      <c r="J42" s="30" t="n">
        <f aca="false">I42+J36</f>
        <v>21841.5495</v>
      </c>
      <c r="K42" s="30" t="n">
        <f aca="false">J42+K36</f>
        <v>50968.596</v>
      </c>
      <c r="L42" s="30" t="n">
        <f aca="false">K42+L36</f>
        <v>80095.6425</v>
      </c>
      <c r="M42" s="30" t="n">
        <f aca="false">L42+M36</f>
        <v>123490.6845</v>
      </c>
      <c r="N42" s="30" t="n">
        <f aca="false">M42+N36</f>
        <v>166122.2565</v>
      </c>
    </row>
    <row r="43" customFormat="false" ht="15" hidden="false" customHeight="false" outlineLevel="0" collapsed="false">
      <c r="A43" s="5" t="s">
        <v>161</v>
      </c>
      <c r="C43" s="30" t="n">
        <f aca="false">C10+C11</f>
        <v>0</v>
      </c>
      <c r="D43" s="30" t="n">
        <f aca="false">C43+D10+D11</f>
        <v>0</v>
      </c>
      <c r="E43" s="30" t="n">
        <f aca="false">D43+E10+E11</f>
        <v>25448.7</v>
      </c>
      <c r="F43" s="30" t="n">
        <f aca="false">E43+F10+F11</f>
        <v>50897.4</v>
      </c>
      <c r="G43" s="30" t="n">
        <f aca="false">F43+G10+G11</f>
        <v>76346.1</v>
      </c>
      <c r="H43" s="30" t="n">
        <f aca="false">G43+H10+H11</f>
        <v>127243.5</v>
      </c>
      <c r="I43" s="30" t="n">
        <f aca="false">H43+I10+I11</f>
        <v>178140.9</v>
      </c>
      <c r="J43" s="30" t="n">
        <f aca="false">I43+J10+J11</f>
        <v>229038.3</v>
      </c>
      <c r="K43" s="30" t="n">
        <f aca="false">J43+K10+K11</f>
        <v>305384.4</v>
      </c>
      <c r="L43" s="30" t="n">
        <f aca="false">K43+L10+L11</f>
        <v>381730.5</v>
      </c>
      <c r="M43" s="30" t="n">
        <f aca="false">L43+M10+M11</f>
        <v>483525.3</v>
      </c>
      <c r="N43" s="30" t="n">
        <f aca="false">M43+N10+N11</f>
        <v>585320.1</v>
      </c>
    </row>
    <row r="44" customFormat="false" ht="15" hidden="false" customHeight="false" outlineLevel="0" collapsed="false">
      <c r="A44" s="5" t="s">
        <v>162</v>
      </c>
      <c r="C44" s="33" t="n">
        <f aca="false">IF(C43&gt;Assumptions!$B$29,1,0)</f>
        <v>0</v>
      </c>
      <c r="D44" s="33" t="n">
        <f aca="false">IF(D43&gt;Assumptions!$B$29,1,0)</f>
        <v>0</v>
      </c>
      <c r="E44" s="33" t="n">
        <f aca="false">IF(E43&gt;Assumptions!$B$29,1,0)</f>
        <v>0</v>
      </c>
      <c r="F44" s="33" t="n">
        <f aca="false">IF(F43&gt;Assumptions!$B$29,1,0)</f>
        <v>0</v>
      </c>
      <c r="G44" s="33" t="n">
        <f aca="false">IF(G43&gt;Assumptions!$B$29,1,0)</f>
        <v>0</v>
      </c>
      <c r="H44" s="33" t="n">
        <f aca="false">IF(H43&gt;Assumptions!$B$29,1,0)</f>
        <v>0</v>
      </c>
      <c r="I44" s="33" t="n">
        <f aca="false">IF(I43&gt;Assumptions!$B$29,1,0)</f>
        <v>0</v>
      </c>
      <c r="J44" s="33" t="n">
        <f aca="false">IF(J43&gt;Assumptions!$B$29,1,0)</f>
        <v>0</v>
      </c>
      <c r="K44" s="33" t="n">
        <f aca="false">IF(K43&gt;Assumptions!$B$29,1,0)</f>
        <v>0</v>
      </c>
      <c r="L44" s="33" t="n">
        <f aca="false">IF(L43&gt;Assumptions!$B$29,1,0)</f>
        <v>0</v>
      </c>
      <c r="M44" s="33" t="n">
        <f aca="false">IF(M43&gt;Assumptions!$B$29,1,0)</f>
        <v>0</v>
      </c>
      <c r="N44" s="33" t="n">
        <f aca="false">IF(N43&gt;Assumptions!$B$29,1,0)</f>
        <v>0</v>
      </c>
    </row>
    <row r="45" customFormat="false" ht="15" hidden="false" customHeight="false" outlineLevel="0" collapsed="false">
      <c r="A45" s="5" t="s">
        <v>163</v>
      </c>
      <c r="C45" s="33" t="n">
        <f aca="false">IF(C42&gt;=0,1,0)</f>
        <v>0</v>
      </c>
      <c r="D45" s="33" t="n">
        <f aca="false">IF(D42&gt;=0,1,0)</f>
        <v>0</v>
      </c>
      <c r="E45" s="33" t="n">
        <f aca="false">IF(E42&gt;=0,1,0)</f>
        <v>0</v>
      </c>
      <c r="F45" s="33" t="n">
        <f aca="false">IF(F42&gt;=0,1,0)</f>
        <v>0</v>
      </c>
      <c r="G45" s="33" t="n">
        <f aca="false">IF(G42&gt;=0,1,0)</f>
        <v>0</v>
      </c>
      <c r="H45" s="33" t="n">
        <f aca="false">IF(H42&gt;=0,1,0)</f>
        <v>0</v>
      </c>
      <c r="I45" s="33" t="n">
        <f aca="false">IF(I42&gt;=0,1,0)</f>
        <v>1</v>
      </c>
      <c r="J45" s="33" t="n">
        <f aca="false">IF(J42&gt;=0,1,0)</f>
        <v>1</v>
      </c>
      <c r="K45" s="33" t="n">
        <f aca="false">IF(K42&gt;=0,1,0)</f>
        <v>1</v>
      </c>
      <c r="L45" s="33" t="n">
        <f aca="false">IF(L42&gt;=0,1,0)</f>
        <v>1</v>
      </c>
      <c r="M45" s="33" t="n">
        <f aca="false">IF(M42&gt;=0,1,0)</f>
        <v>1</v>
      </c>
      <c r="N45" s="33" t="n">
        <f aca="false">IF(N42&gt;=0,1,0)</f>
        <v>1</v>
      </c>
    </row>
    <row r="46" customFormat="false" ht="15" hidden="false" customHeight="false" outlineLevel="0" collapsed="false">
      <c r="A46" s="5" t="s">
        <v>164</v>
      </c>
      <c r="B46" s="34" t="n">
        <f aca="false">MIN(Assumptions!B30,IFERROR(MATCH(1,C44:N44,0)+1,13))</f>
        <v>13</v>
      </c>
      <c r="C46" s="2" t="s">
        <v>165</v>
      </c>
    </row>
    <row r="48" customFormat="false" ht="15" hidden="false" customHeight="false" outlineLevel="0" collapsed="false">
      <c r="A48" s="2"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14" min="3" style="0" width="11"/>
  </cols>
  <sheetData>
    <row r="1" customFormat="false" ht="17.35" hidden="false" customHeight="false" outlineLevel="0" collapsed="false">
      <c r="A1" s="1" t="s">
        <v>167</v>
      </c>
    </row>
    <row r="2" customFormat="false" ht="15" hidden="false" customHeight="false" outlineLevel="0" collapsed="false">
      <c r="A2" s="5" t="s">
        <v>135</v>
      </c>
      <c r="B2" s="26" t="n">
        <v>2</v>
      </c>
      <c r="C2" s="2" t="s">
        <v>136</v>
      </c>
    </row>
    <row r="4" customFormat="false" ht="15" hidden="false" customHeight="false" outlineLevel="0" collapsed="false">
      <c r="A4" s="11" t="s">
        <v>93</v>
      </c>
      <c r="C4" s="27" t="n">
        <f aca="false">Assumptions!C62</f>
        <v>1</v>
      </c>
      <c r="D4" s="27" t="n">
        <f aca="false">Assumptions!D62</f>
        <v>2</v>
      </c>
      <c r="E4" s="27" t="n">
        <f aca="false">Assumptions!E62</f>
        <v>3</v>
      </c>
      <c r="F4" s="27" t="n">
        <f aca="false">Assumptions!F62</f>
        <v>4</v>
      </c>
      <c r="G4" s="27" t="n">
        <f aca="false">Assumptions!G62</f>
        <v>5</v>
      </c>
      <c r="H4" s="27" t="n">
        <f aca="false">Assumptions!H62</f>
        <v>6</v>
      </c>
      <c r="I4" s="27" t="n">
        <f aca="false">Assumptions!I62</f>
        <v>7</v>
      </c>
      <c r="J4" s="27" t="n">
        <f aca="false">Assumptions!J62</f>
        <v>8</v>
      </c>
      <c r="K4" s="27" t="n">
        <f aca="false">Assumptions!K62</f>
        <v>9</v>
      </c>
      <c r="L4" s="27" t="n">
        <f aca="false">Assumptions!L62</f>
        <v>10</v>
      </c>
      <c r="M4" s="27" t="n">
        <f aca="false">Assumptions!M62</f>
        <v>11</v>
      </c>
      <c r="N4" s="27" t="n">
        <f aca="false">Assumptions!N62</f>
        <v>12</v>
      </c>
    </row>
    <row r="5" customFormat="false" ht="15" hidden="false" customHeight="false" outlineLevel="0" collapsed="false">
      <c r="A5" s="11" t="s">
        <v>26</v>
      </c>
      <c r="B5" s="22" t="s">
        <v>137</v>
      </c>
      <c r="C5" s="13" t="str">
        <f aca="false">Assumptions!C63</f>
        <v>Oct 2026</v>
      </c>
      <c r="D5" s="13" t="str">
        <f aca="false">Assumptions!D63</f>
        <v>Nov 2026</v>
      </c>
      <c r="E5" s="13" t="str">
        <f aca="false">Assumptions!E63</f>
        <v>Dec 2026</v>
      </c>
      <c r="F5" s="13" t="str">
        <f aca="false">Assumptions!F63</f>
        <v>Jan 2027</v>
      </c>
      <c r="G5" s="13" t="str">
        <f aca="false">Assumptions!G63</f>
        <v>Feb 2027</v>
      </c>
      <c r="H5" s="13" t="str">
        <f aca="false">Assumptions!H63</f>
        <v>Mar 2027</v>
      </c>
      <c r="I5" s="13" t="str">
        <f aca="false">Assumptions!I63</f>
        <v>Apr 2027</v>
      </c>
      <c r="J5" s="13" t="str">
        <f aca="false">Assumptions!J63</f>
        <v>May 2027</v>
      </c>
      <c r="K5" s="13" t="str">
        <f aca="false">Assumptions!K63</f>
        <v>Jun 2027</v>
      </c>
      <c r="L5" s="13" t="str">
        <f aca="false">Assumptions!L63</f>
        <v>Jul 2027</v>
      </c>
      <c r="M5" s="13" t="str">
        <f aca="false">Assumptions!M63</f>
        <v>Aug 2027</v>
      </c>
      <c r="N5" s="13" t="str">
        <f aca="false">Assumptions!N63</f>
        <v>Sep 2027</v>
      </c>
    </row>
    <row r="6" customFormat="false" ht="15" hidden="false" customHeight="false" outlineLevel="0" collapsed="false">
      <c r="A6" s="5" t="s">
        <v>7</v>
      </c>
      <c r="B6" s="28" t="n">
        <f aca="false">SUM(C6:N6)</f>
        <v>57</v>
      </c>
      <c r="C6" s="29" t="n">
        <f aca="false">INDEX(Assumptions!$C$67:$N$69,$B$2,C$4)</f>
        <v>0</v>
      </c>
      <c r="D6" s="29" t="n">
        <f aca="false">INDEX(Assumptions!$C$67:$N$69,$B$2,D$4)</f>
        <v>1</v>
      </c>
      <c r="E6" s="29" t="n">
        <f aca="false">INDEX(Assumptions!$C$67:$N$69,$B$2,E$4)</f>
        <v>2</v>
      </c>
      <c r="F6" s="29" t="n">
        <f aca="false">INDEX(Assumptions!$C$67:$N$69,$B$2,F$4)</f>
        <v>2</v>
      </c>
      <c r="G6" s="29" t="n">
        <f aca="false">INDEX(Assumptions!$C$67:$N$69,$B$2,G$4)</f>
        <v>3</v>
      </c>
      <c r="H6" s="29" t="n">
        <f aca="false">INDEX(Assumptions!$C$67:$N$69,$B$2,H$4)</f>
        <v>4</v>
      </c>
      <c r="I6" s="29" t="n">
        <f aca="false">INDEX(Assumptions!$C$67:$N$69,$B$2,I$4)</f>
        <v>5</v>
      </c>
      <c r="J6" s="29" t="n">
        <f aca="false">INDEX(Assumptions!$C$67:$N$69,$B$2,J$4)</f>
        <v>6</v>
      </c>
      <c r="K6" s="29" t="n">
        <f aca="false">INDEX(Assumptions!$C$67:$N$69,$B$2,K$4)</f>
        <v>7</v>
      </c>
      <c r="L6" s="29" t="n">
        <f aca="false">INDEX(Assumptions!$C$67:$N$69,$B$2,L$4)</f>
        <v>8</v>
      </c>
      <c r="M6" s="29" t="n">
        <f aca="false">INDEX(Assumptions!$C$67:$N$69,$B$2,M$4)</f>
        <v>9</v>
      </c>
      <c r="N6" s="29" t="n">
        <f aca="false">INDEX(Assumptions!$C$67:$N$69,$B$2,N$4)</f>
        <v>10</v>
      </c>
    </row>
    <row r="7" customFormat="false" ht="15" hidden="false" customHeight="false" outlineLevel="0" collapsed="false">
      <c r="A7" s="5" t="s">
        <v>138</v>
      </c>
      <c r="C7" s="14" t="n">
        <f aca="false">IF(C$4&gt;=Assumptions!$B$7,Assumptions!$B$6,Assumptions!$B$5)</f>
        <v>24999</v>
      </c>
      <c r="D7" s="14" t="n">
        <f aca="false">IF(D$4&gt;=Assumptions!$B$7,Assumptions!$B$6,Assumptions!$B$5)</f>
        <v>24999</v>
      </c>
      <c r="E7" s="14" t="n">
        <f aca="false">IF(E$4&gt;=Assumptions!$B$7,Assumptions!$B$6,Assumptions!$B$5)</f>
        <v>24999</v>
      </c>
      <c r="F7" s="14" t="n">
        <f aca="false">IF(F$4&gt;=Assumptions!$B$7,Assumptions!$B$6,Assumptions!$B$5)</f>
        <v>24999</v>
      </c>
      <c r="G7" s="14" t="n">
        <f aca="false">IF(G$4&gt;=Assumptions!$B$7,Assumptions!$B$6,Assumptions!$B$5)</f>
        <v>24999</v>
      </c>
      <c r="H7" s="14" t="n">
        <f aca="false">IF(H$4&gt;=Assumptions!$B$7,Assumptions!$B$6,Assumptions!$B$5)</f>
        <v>24999</v>
      </c>
      <c r="I7" s="14" t="n">
        <f aca="false">IF(I$4&gt;=Assumptions!$B$7,Assumptions!$B$6,Assumptions!$B$5)</f>
        <v>24999</v>
      </c>
      <c r="J7" s="14" t="n">
        <f aca="false">IF(J$4&gt;=Assumptions!$B$7,Assumptions!$B$6,Assumptions!$B$5)</f>
        <v>24999</v>
      </c>
      <c r="K7" s="14" t="n">
        <f aca="false">IF(K$4&gt;=Assumptions!$B$7,Assumptions!$B$6,Assumptions!$B$5)</f>
        <v>24999</v>
      </c>
      <c r="L7" s="14" t="n">
        <f aca="false">IF(L$4&gt;=Assumptions!$B$7,Assumptions!$B$6,Assumptions!$B$5)</f>
        <v>24999</v>
      </c>
      <c r="M7" s="14" t="n">
        <f aca="false">IF(M$4&gt;=Assumptions!$B$7,Assumptions!$B$6,Assumptions!$B$5)</f>
        <v>24999</v>
      </c>
      <c r="N7" s="14" t="n">
        <f aca="false">IF(N$4&gt;=Assumptions!$B$7,Assumptions!$B$6,Assumptions!$B$5)</f>
        <v>24999</v>
      </c>
    </row>
    <row r="9" customFormat="false" ht="15" hidden="false" customHeight="false" outlineLevel="0" collapsed="false">
      <c r="A9" s="3" t="s">
        <v>139</v>
      </c>
      <c r="B9" s="3"/>
      <c r="C9" s="3"/>
      <c r="D9" s="3"/>
      <c r="E9" s="3"/>
      <c r="F9" s="3"/>
      <c r="G9" s="3"/>
      <c r="H9" s="3"/>
      <c r="I9" s="3"/>
      <c r="J9" s="3"/>
      <c r="K9" s="3"/>
      <c r="L9" s="3"/>
      <c r="M9" s="3"/>
      <c r="N9" s="3"/>
    </row>
    <row r="10" customFormat="false" ht="15" hidden="false" customHeight="false" outlineLevel="0" collapsed="false">
      <c r="A10" s="5" t="s">
        <v>140</v>
      </c>
      <c r="B10" s="30" t="n">
        <f aca="false">SUM(C10:N10)</f>
        <v>1424943</v>
      </c>
      <c r="C10" s="30" t="n">
        <f aca="false">C6*C7</f>
        <v>0</v>
      </c>
      <c r="D10" s="30" t="n">
        <f aca="false">D6*D7</f>
        <v>24999</v>
      </c>
      <c r="E10" s="30" t="n">
        <f aca="false">E6*E7</f>
        <v>49998</v>
      </c>
      <c r="F10" s="30" t="n">
        <f aca="false">F6*F7</f>
        <v>49998</v>
      </c>
      <c r="G10" s="30" t="n">
        <f aca="false">G6*G7</f>
        <v>74997</v>
      </c>
      <c r="H10" s="30" t="n">
        <f aca="false">H6*H7</f>
        <v>99996</v>
      </c>
      <c r="I10" s="30" t="n">
        <f aca="false">I6*I7</f>
        <v>124995</v>
      </c>
      <c r="J10" s="30" t="n">
        <f aca="false">J6*J7</f>
        <v>149994</v>
      </c>
      <c r="K10" s="30" t="n">
        <f aca="false">K6*K7</f>
        <v>174993</v>
      </c>
      <c r="L10" s="30" t="n">
        <f aca="false">L6*L7</f>
        <v>199992</v>
      </c>
      <c r="M10" s="30" t="n">
        <f aca="false">M6*M7</f>
        <v>224991</v>
      </c>
      <c r="N10" s="30" t="n">
        <f aca="false">N6*N7</f>
        <v>249990</v>
      </c>
    </row>
    <row r="11" customFormat="false" ht="15" hidden="false" customHeight="false" outlineLevel="0" collapsed="false">
      <c r="A11" s="5" t="s">
        <v>141</v>
      </c>
      <c r="B11" s="30" t="n">
        <f aca="false">SUM(C11:N11)</f>
        <v>25632.9</v>
      </c>
      <c r="C11" s="30" t="n">
        <f aca="false">C6*Assumptions!$B$8*Assumptions!$B$9</f>
        <v>0</v>
      </c>
      <c r="D11" s="30" t="n">
        <f aca="false">D6*Assumptions!$B$8*Assumptions!$B$9</f>
        <v>449.7</v>
      </c>
      <c r="E11" s="30" t="n">
        <f aca="false">E6*Assumptions!$B$8*Assumptions!$B$9</f>
        <v>899.4</v>
      </c>
      <c r="F11" s="30" t="n">
        <f aca="false">F6*Assumptions!$B$8*Assumptions!$B$9</f>
        <v>899.4</v>
      </c>
      <c r="G11" s="30" t="n">
        <f aca="false">G6*Assumptions!$B$8*Assumptions!$B$9</f>
        <v>1349.1</v>
      </c>
      <c r="H11" s="30" t="n">
        <f aca="false">H6*Assumptions!$B$8*Assumptions!$B$9</f>
        <v>1798.8</v>
      </c>
      <c r="I11" s="30" t="n">
        <f aca="false">I6*Assumptions!$B$8*Assumptions!$B$9</f>
        <v>2248.5</v>
      </c>
      <c r="J11" s="30" t="n">
        <f aca="false">J6*Assumptions!$B$8*Assumptions!$B$9</f>
        <v>2698.2</v>
      </c>
      <c r="K11" s="30" t="n">
        <f aca="false">K6*Assumptions!$B$8*Assumptions!$B$9</f>
        <v>3147.9</v>
      </c>
      <c r="L11" s="30" t="n">
        <f aca="false">L6*Assumptions!$B$8*Assumptions!$B$9</f>
        <v>3597.6</v>
      </c>
      <c r="M11" s="30" t="n">
        <f aca="false">M6*Assumptions!$B$8*Assumptions!$B$9</f>
        <v>4047.3</v>
      </c>
      <c r="N11" s="30" t="n">
        <f aca="false">N6*Assumptions!$B$8*Assumptions!$B$9</f>
        <v>4497</v>
      </c>
    </row>
    <row r="12" customFormat="false" ht="15" hidden="false" customHeight="false" outlineLevel="0" collapsed="false">
      <c r="A12" s="5" t="s">
        <v>9</v>
      </c>
      <c r="B12" s="30" t="n">
        <f aca="false">SUM(C12:N12)</f>
        <v>-22499.1</v>
      </c>
      <c r="C12" s="30" t="n">
        <f aca="true">IF(C$4&gt;Assumptions!$B$23,-OFFSET(C10,0,-Assumptions!$B$23)*Assumptions!$B$22,0)</f>
        <v>0</v>
      </c>
      <c r="D12" s="30" t="n">
        <f aca="true">IF(D$4&gt;Assumptions!$B$23,-OFFSET(D10,0,-Assumptions!$B$23)*Assumptions!$B$22,0)</f>
        <v>0</v>
      </c>
      <c r="E12" s="30" t="n">
        <f aca="true">IF(E$4&gt;Assumptions!$B$23,-OFFSET(E10,0,-Assumptions!$B$23)*Assumptions!$B$22,0)</f>
        <v>0</v>
      </c>
      <c r="F12" s="30" t="n">
        <f aca="true">IF(F$4&gt;Assumptions!$B$23,-OFFSET(F10,0,-Assumptions!$B$23)*Assumptions!$B$22,0)</f>
        <v>-0</v>
      </c>
      <c r="G12" s="30" t="n">
        <f aca="true">IF(G$4&gt;Assumptions!$B$23,-OFFSET(G10,0,-Assumptions!$B$23)*Assumptions!$B$22,0)</f>
        <v>-749.97</v>
      </c>
      <c r="H12" s="30" t="n">
        <f aca="true">IF(H$4&gt;Assumptions!$B$23,-OFFSET(H10,0,-Assumptions!$B$23)*Assumptions!$B$22,0)</f>
        <v>-1499.94</v>
      </c>
      <c r="I12" s="30" t="n">
        <f aca="true">IF(I$4&gt;Assumptions!$B$23,-OFFSET(I10,0,-Assumptions!$B$23)*Assumptions!$B$22,0)</f>
        <v>-1499.94</v>
      </c>
      <c r="J12" s="30" t="n">
        <f aca="true">IF(J$4&gt;Assumptions!$B$23,-OFFSET(J10,0,-Assumptions!$B$23)*Assumptions!$B$22,0)</f>
        <v>-2249.91</v>
      </c>
      <c r="K12" s="30" t="n">
        <f aca="true">IF(K$4&gt;Assumptions!$B$23,-OFFSET(K10,0,-Assumptions!$B$23)*Assumptions!$B$22,0)</f>
        <v>-2999.88</v>
      </c>
      <c r="L12" s="30" t="n">
        <f aca="true">IF(L$4&gt;Assumptions!$B$23,-OFFSET(L10,0,-Assumptions!$B$23)*Assumptions!$B$22,0)</f>
        <v>-3749.85</v>
      </c>
      <c r="M12" s="30" t="n">
        <f aca="true">IF(M$4&gt;Assumptions!$B$23,-OFFSET(M10,0,-Assumptions!$B$23)*Assumptions!$B$22,0)</f>
        <v>-4499.82</v>
      </c>
      <c r="N12" s="30" t="n">
        <f aca="true">IF(N$4&gt;Assumptions!$B$23,-OFFSET(N10,0,-Assumptions!$B$23)*Assumptions!$B$22,0)</f>
        <v>-5249.79</v>
      </c>
    </row>
    <row r="13" customFormat="false" ht="15" hidden="false" customHeight="false" outlineLevel="0" collapsed="false">
      <c r="A13" s="8" t="s">
        <v>142</v>
      </c>
      <c r="B13" s="31" t="n">
        <f aca="false">SUM(C13:N13)</f>
        <v>1428076.8</v>
      </c>
      <c r="C13" s="31" t="n">
        <f aca="false">SUM(C10:C12)</f>
        <v>0</v>
      </c>
      <c r="D13" s="31" t="n">
        <f aca="false">SUM(D10:D12)</f>
        <v>25448.7</v>
      </c>
      <c r="E13" s="31" t="n">
        <f aca="false">SUM(E10:E12)</f>
        <v>50897.4</v>
      </c>
      <c r="F13" s="31" t="n">
        <f aca="false">SUM(F10:F12)</f>
        <v>50897.4</v>
      </c>
      <c r="G13" s="31" t="n">
        <f aca="false">SUM(G10:G12)</f>
        <v>75596.13</v>
      </c>
      <c r="H13" s="31" t="n">
        <f aca="false">SUM(H10:H12)</f>
        <v>100294.86</v>
      </c>
      <c r="I13" s="31" t="n">
        <f aca="false">SUM(I10:I12)</f>
        <v>125743.56</v>
      </c>
      <c r="J13" s="31" t="n">
        <f aca="false">SUM(J10:J12)</f>
        <v>150442.29</v>
      </c>
      <c r="K13" s="31" t="n">
        <f aca="false">SUM(K10:K12)</f>
        <v>175141.02</v>
      </c>
      <c r="L13" s="31" t="n">
        <f aca="false">SUM(L10:L12)</f>
        <v>199839.75</v>
      </c>
      <c r="M13" s="31" t="n">
        <f aca="false">SUM(M10:M12)</f>
        <v>224538.48</v>
      </c>
      <c r="N13" s="31" t="n">
        <f aca="false">SUM(N10:N12)</f>
        <v>249237.21</v>
      </c>
    </row>
    <row r="15" customFormat="false" ht="15" hidden="false" customHeight="false" outlineLevel="0" collapsed="false">
      <c r="A15" s="3" t="s">
        <v>143</v>
      </c>
      <c r="B15" s="3"/>
      <c r="C15" s="3"/>
      <c r="D15" s="3"/>
      <c r="E15" s="3"/>
      <c r="F15" s="3"/>
      <c r="G15" s="3"/>
      <c r="H15" s="3"/>
      <c r="I15" s="3"/>
      <c r="J15" s="3"/>
      <c r="K15" s="3"/>
      <c r="L15" s="3"/>
      <c r="M15" s="3"/>
      <c r="N15" s="3"/>
    </row>
    <row r="16" customFormat="false" ht="15" hidden="false" customHeight="false" outlineLevel="0" collapsed="false">
      <c r="A16" s="5" t="s">
        <v>144</v>
      </c>
      <c r="B16" s="30" t="n">
        <f aca="false">SUM(C16:N16)</f>
        <v>-452010</v>
      </c>
      <c r="C16" s="30" t="n">
        <f aca="false">-C6*(Assumptions!$B$13+Assumptions!$B$14)*(1-Assumptions!$B$15)</f>
        <v>-0</v>
      </c>
      <c r="D16" s="30" t="n">
        <f aca="false">-D6*(Assumptions!$B$13+Assumptions!$B$14)*(1-Assumptions!$B$15)</f>
        <v>-7930</v>
      </c>
      <c r="E16" s="30" t="n">
        <f aca="false">-E6*(Assumptions!$B$13+Assumptions!$B$14)*(1-Assumptions!$B$15)</f>
        <v>-15860</v>
      </c>
      <c r="F16" s="30" t="n">
        <f aca="false">-F6*(Assumptions!$B$13+Assumptions!$B$14)*(1-Assumptions!$B$15)</f>
        <v>-15860</v>
      </c>
      <c r="G16" s="30" t="n">
        <f aca="false">-G6*(Assumptions!$B$13+Assumptions!$B$14)*(1-Assumptions!$B$15)</f>
        <v>-23790</v>
      </c>
      <c r="H16" s="30" t="n">
        <f aca="false">-H6*(Assumptions!$B$13+Assumptions!$B$14)*(1-Assumptions!$B$15)</f>
        <v>-31720</v>
      </c>
      <c r="I16" s="30" t="n">
        <f aca="false">-I6*(Assumptions!$B$13+Assumptions!$B$14)*(1-Assumptions!$B$15)</f>
        <v>-39650</v>
      </c>
      <c r="J16" s="30" t="n">
        <f aca="false">-J6*(Assumptions!$B$13+Assumptions!$B$14)*(1-Assumptions!$B$15)</f>
        <v>-47580</v>
      </c>
      <c r="K16" s="30" t="n">
        <f aca="false">-K6*(Assumptions!$B$13+Assumptions!$B$14)*(1-Assumptions!$B$15)</f>
        <v>-55510</v>
      </c>
      <c r="L16" s="30" t="n">
        <f aca="false">-L6*(Assumptions!$B$13+Assumptions!$B$14)*(1-Assumptions!$B$15)</f>
        <v>-63440</v>
      </c>
      <c r="M16" s="30" t="n">
        <f aca="false">-M6*(Assumptions!$B$13+Assumptions!$B$14)*(1-Assumptions!$B$15)</f>
        <v>-71370</v>
      </c>
      <c r="N16" s="30" t="n">
        <f aca="false">-N6*(Assumptions!$B$13+Assumptions!$B$14)*(1-Assumptions!$B$15)</f>
        <v>-79300</v>
      </c>
    </row>
    <row r="17" customFormat="false" ht="15" hidden="false" customHeight="false" outlineLevel="0" collapsed="false">
      <c r="A17" s="5" t="s">
        <v>145</v>
      </c>
      <c r="B17" s="30" t="n">
        <f aca="false">SUM(C17:N17)</f>
        <v>-25650</v>
      </c>
      <c r="C17" s="30" t="n">
        <f aca="false">-C6*Assumptions!$B$16</f>
        <v>-0</v>
      </c>
      <c r="D17" s="30" t="n">
        <f aca="false">-D6*Assumptions!$B$16</f>
        <v>-450</v>
      </c>
      <c r="E17" s="30" t="n">
        <f aca="false">-E6*Assumptions!$B$16</f>
        <v>-900</v>
      </c>
      <c r="F17" s="30" t="n">
        <f aca="false">-F6*Assumptions!$B$16</f>
        <v>-900</v>
      </c>
      <c r="G17" s="30" t="n">
        <f aca="false">-G6*Assumptions!$B$16</f>
        <v>-1350</v>
      </c>
      <c r="H17" s="30" t="n">
        <f aca="false">-H6*Assumptions!$B$16</f>
        <v>-1800</v>
      </c>
      <c r="I17" s="30" t="n">
        <f aca="false">-I6*Assumptions!$B$16</f>
        <v>-2250</v>
      </c>
      <c r="J17" s="30" t="n">
        <f aca="false">-J6*Assumptions!$B$16</f>
        <v>-2700</v>
      </c>
      <c r="K17" s="30" t="n">
        <f aca="false">-K6*Assumptions!$B$16</f>
        <v>-3150</v>
      </c>
      <c r="L17" s="30" t="n">
        <f aca="false">-L6*Assumptions!$B$16</f>
        <v>-3600</v>
      </c>
      <c r="M17" s="30" t="n">
        <f aca="false">-M6*Assumptions!$B$16</f>
        <v>-4050</v>
      </c>
      <c r="N17" s="30" t="n">
        <f aca="false">-N6*Assumptions!$B$16</f>
        <v>-4500</v>
      </c>
    </row>
    <row r="18" customFormat="false" ht="15" hidden="false" customHeight="false" outlineLevel="0" collapsed="false">
      <c r="A18" s="5" t="s">
        <v>146</v>
      </c>
      <c r="B18" s="30" t="n">
        <f aca="false">SUM(C18:N18)</f>
        <v>-17100</v>
      </c>
      <c r="C18" s="30" t="n">
        <f aca="false">-C6*Assumptions!$B$17</f>
        <v>-0</v>
      </c>
      <c r="D18" s="30" t="n">
        <f aca="false">-D6*Assumptions!$B$17</f>
        <v>-300</v>
      </c>
      <c r="E18" s="30" t="n">
        <f aca="false">-E6*Assumptions!$B$17</f>
        <v>-600</v>
      </c>
      <c r="F18" s="30" t="n">
        <f aca="false">-F6*Assumptions!$B$17</f>
        <v>-600</v>
      </c>
      <c r="G18" s="30" t="n">
        <f aca="false">-G6*Assumptions!$B$17</f>
        <v>-900</v>
      </c>
      <c r="H18" s="30" t="n">
        <f aca="false">-H6*Assumptions!$B$17</f>
        <v>-1200</v>
      </c>
      <c r="I18" s="30" t="n">
        <f aca="false">-I6*Assumptions!$B$17</f>
        <v>-1500</v>
      </c>
      <c r="J18" s="30" t="n">
        <f aca="false">-J6*Assumptions!$B$17</f>
        <v>-1800</v>
      </c>
      <c r="K18" s="30" t="n">
        <f aca="false">-K6*Assumptions!$B$17</f>
        <v>-2100</v>
      </c>
      <c r="L18" s="30" t="n">
        <f aca="false">-L6*Assumptions!$B$17</f>
        <v>-2400</v>
      </c>
      <c r="M18" s="30" t="n">
        <f aca="false">-M6*Assumptions!$B$17</f>
        <v>-2700</v>
      </c>
      <c r="N18" s="30" t="n">
        <f aca="false">-N6*Assumptions!$B$17</f>
        <v>-3000</v>
      </c>
    </row>
    <row r="19" customFormat="false" ht="15" hidden="false" customHeight="false" outlineLevel="0" collapsed="false">
      <c r="A19" s="5" t="s">
        <v>147</v>
      </c>
      <c r="B19" s="30" t="n">
        <f aca="false">SUM(C19:N19)</f>
        <v>-57000</v>
      </c>
      <c r="C19" s="30" t="n">
        <f aca="false">-C6*Assumptions!$B$18</f>
        <v>-0</v>
      </c>
      <c r="D19" s="30" t="n">
        <f aca="false">-D6*Assumptions!$B$18</f>
        <v>-1000</v>
      </c>
      <c r="E19" s="30" t="n">
        <f aca="false">-E6*Assumptions!$B$18</f>
        <v>-2000</v>
      </c>
      <c r="F19" s="30" t="n">
        <f aca="false">-F6*Assumptions!$B$18</f>
        <v>-2000</v>
      </c>
      <c r="G19" s="30" t="n">
        <f aca="false">-G6*Assumptions!$B$18</f>
        <v>-3000</v>
      </c>
      <c r="H19" s="30" t="n">
        <f aca="false">-H6*Assumptions!$B$18</f>
        <v>-4000</v>
      </c>
      <c r="I19" s="30" t="n">
        <f aca="false">-I6*Assumptions!$B$18</f>
        <v>-5000</v>
      </c>
      <c r="J19" s="30" t="n">
        <f aca="false">-J6*Assumptions!$B$18</f>
        <v>-6000</v>
      </c>
      <c r="K19" s="30" t="n">
        <f aca="false">-K6*Assumptions!$B$18</f>
        <v>-7000</v>
      </c>
      <c r="L19" s="30" t="n">
        <f aca="false">-L6*Assumptions!$B$18</f>
        <v>-8000</v>
      </c>
      <c r="M19" s="30" t="n">
        <f aca="false">-M6*Assumptions!$B$18</f>
        <v>-9000</v>
      </c>
      <c r="N19" s="30" t="n">
        <f aca="false">-N6*Assumptions!$B$18</f>
        <v>-10000</v>
      </c>
    </row>
    <row r="20" customFormat="false" ht="15" hidden="false" customHeight="false" outlineLevel="0" collapsed="false">
      <c r="A20" s="5" t="s">
        <v>148</v>
      </c>
      <c r="B20" s="30" t="n">
        <f aca="false">SUM(C20:N20)</f>
        <v>-8550</v>
      </c>
      <c r="C20" s="30" t="n">
        <f aca="false">-C6*Assumptions!$B$19</f>
        <v>-0</v>
      </c>
      <c r="D20" s="30" t="n">
        <f aca="false">-D6*Assumptions!$B$19</f>
        <v>-150</v>
      </c>
      <c r="E20" s="30" t="n">
        <f aca="false">-E6*Assumptions!$B$19</f>
        <v>-300</v>
      </c>
      <c r="F20" s="30" t="n">
        <f aca="false">-F6*Assumptions!$B$19</f>
        <v>-300</v>
      </c>
      <c r="G20" s="30" t="n">
        <f aca="false">-G6*Assumptions!$B$19</f>
        <v>-450</v>
      </c>
      <c r="H20" s="30" t="n">
        <f aca="false">-H6*Assumptions!$B$19</f>
        <v>-600</v>
      </c>
      <c r="I20" s="30" t="n">
        <f aca="false">-I6*Assumptions!$B$19</f>
        <v>-750</v>
      </c>
      <c r="J20" s="30" t="n">
        <f aca="false">-J6*Assumptions!$B$19</f>
        <v>-900</v>
      </c>
      <c r="K20" s="30" t="n">
        <f aca="false">-K6*Assumptions!$B$19</f>
        <v>-1050</v>
      </c>
      <c r="L20" s="30" t="n">
        <f aca="false">-L6*Assumptions!$B$19</f>
        <v>-1200</v>
      </c>
      <c r="M20" s="30" t="n">
        <f aca="false">-M6*Assumptions!$B$19</f>
        <v>-1350</v>
      </c>
      <c r="N20" s="30" t="n">
        <f aca="false">-N6*Assumptions!$B$19</f>
        <v>-1500</v>
      </c>
    </row>
    <row r="21" customFormat="false" ht="15" hidden="false" customHeight="false" outlineLevel="0" collapsed="false">
      <c r="A21" s="5" t="s">
        <v>40</v>
      </c>
      <c r="B21" s="30" t="n">
        <f aca="false">SUM(C21:N21)</f>
        <v>-11970</v>
      </c>
      <c r="C21" s="30" t="n">
        <f aca="false">-C6*Assumptions!$B$8*Assumptions!$B$10</f>
        <v>-0</v>
      </c>
      <c r="D21" s="30" t="n">
        <f aca="false">-D6*Assumptions!$B$8*Assumptions!$B$10</f>
        <v>-210</v>
      </c>
      <c r="E21" s="30" t="n">
        <f aca="false">-E6*Assumptions!$B$8*Assumptions!$B$10</f>
        <v>-420</v>
      </c>
      <c r="F21" s="30" t="n">
        <f aca="false">-F6*Assumptions!$B$8*Assumptions!$B$10</f>
        <v>-420</v>
      </c>
      <c r="G21" s="30" t="n">
        <f aca="false">-G6*Assumptions!$B$8*Assumptions!$B$10</f>
        <v>-630</v>
      </c>
      <c r="H21" s="30" t="n">
        <f aca="false">-H6*Assumptions!$B$8*Assumptions!$B$10</f>
        <v>-840</v>
      </c>
      <c r="I21" s="30" t="n">
        <f aca="false">-I6*Assumptions!$B$8*Assumptions!$B$10</f>
        <v>-1050</v>
      </c>
      <c r="J21" s="30" t="n">
        <f aca="false">-J6*Assumptions!$B$8*Assumptions!$B$10</f>
        <v>-1260</v>
      </c>
      <c r="K21" s="30" t="n">
        <f aca="false">-K6*Assumptions!$B$8*Assumptions!$B$10</f>
        <v>-1470</v>
      </c>
      <c r="L21" s="30" t="n">
        <f aca="false">-L6*Assumptions!$B$8*Assumptions!$B$10</f>
        <v>-1680</v>
      </c>
      <c r="M21" s="30" t="n">
        <f aca="false">-M6*Assumptions!$B$8*Assumptions!$B$10</f>
        <v>-1890</v>
      </c>
      <c r="N21" s="30" t="n">
        <f aca="false">-N6*Assumptions!$B$8*Assumptions!$B$10</f>
        <v>-2100</v>
      </c>
    </row>
    <row r="22" customFormat="false" ht="15" hidden="false" customHeight="false" outlineLevel="0" collapsed="false">
      <c r="A22" s="5" t="s">
        <v>149</v>
      </c>
      <c r="B22" s="30" t="n">
        <f aca="false">SUM(C22:N22)</f>
        <v>-405</v>
      </c>
      <c r="C22" s="30" t="n">
        <f aca="true">IF(C$4&gt;Assumptions!$B$23,-OFFSET(C6,0,-Assumptions!$B$23)*Assumptions!$B$22*Assumptions!$B$24,0)</f>
        <v>0</v>
      </c>
      <c r="D22" s="30" t="n">
        <f aca="true">IF(D$4&gt;Assumptions!$B$23,-OFFSET(D6,0,-Assumptions!$B$23)*Assumptions!$B$22*Assumptions!$B$24,0)</f>
        <v>0</v>
      </c>
      <c r="E22" s="30" t="n">
        <f aca="true">IF(E$4&gt;Assumptions!$B$23,-OFFSET(E6,0,-Assumptions!$B$23)*Assumptions!$B$22*Assumptions!$B$24,0)</f>
        <v>0</v>
      </c>
      <c r="F22" s="30" t="n">
        <f aca="true">IF(F$4&gt;Assumptions!$B$23,-OFFSET(F6,0,-Assumptions!$B$23)*Assumptions!$B$22*Assumptions!$B$24,0)</f>
        <v>-0</v>
      </c>
      <c r="G22" s="30" t="n">
        <f aca="true">IF(G$4&gt;Assumptions!$B$23,-OFFSET(G6,0,-Assumptions!$B$23)*Assumptions!$B$22*Assumptions!$B$24,0)</f>
        <v>-13.5</v>
      </c>
      <c r="H22" s="30" t="n">
        <f aca="true">IF(H$4&gt;Assumptions!$B$23,-OFFSET(H6,0,-Assumptions!$B$23)*Assumptions!$B$22*Assumptions!$B$24,0)</f>
        <v>-27</v>
      </c>
      <c r="I22" s="30" t="n">
        <f aca="true">IF(I$4&gt;Assumptions!$B$23,-OFFSET(I6,0,-Assumptions!$B$23)*Assumptions!$B$22*Assumptions!$B$24,0)</f>
        <v>-27</v>
      </c>
      <c r="J22" s="30" t="n">
        <f aca="true">IF(J$4&gt;Assumptions!$B$23,-OFFSET(J6,0,-Assumptions!$B$23)*Assumptions!$B$22*Assumptions!$B$24,0)</f>
        <v>-40.5</v>
      </c>
      <c r="K22" s="30" t="n">
        <f aca="true">IF(K$4&gt;Assumptions!$B$23,-OFFSET(K6,0,-Assumptions!$B$23)*Assumptions!$B$22*Assumptions!$B$24,0)</f>
        <v>-54</v>
      </c>
      <c r="L22" s="30" t="n">
        <f aca="true">IF(L$4&gt;Assumptions!$B$23,-OFFSET(L6,0,-Assumptions!$B$23)*Assumptions!$B$22*Assumptions!$B$24,0)</f>
        <v>-67.5</v>
      </c>
      <c r="M22" s="30" t="n">
        <f aca="true">IF(M$4&gt;Assumptions!$B$23,-OFFSET(M6,0,-Assumptions!$B$23)*Assumptions!$B$22*Assumptions!$B$24,0)</f>
        <v>-81</v>
      </c>
      <c r="N22" s="30" t="n">
        <f aca="true">IF(N$4&gt;Assumptions!$B$23,-OFFSET(N6,0,-Assumptions!$B$23)*Assumptions!$B$22*Assumptions!$B$24,0)</f>
        <v>-94.5</v>
      </c>
    </row>
    <row r="23" customFormat="false" ht="15" hidden="false" customHeight="false" outlineLevel="0" collapsed="false">
      <c r="A23" s="5" t="s">
        <v>150</v>
      </c>
      <c r="B23" s="30" t="n">
        <f aca="false">SUM(C23:N23)</f>
        <v>-50770.1565</v>
      </c>
      <c r="C23" s="30" t="n">
        <f aca="false">-(C10+C11)*Assumptions!$B$20</f>
        <v>-0</v>
      </c>
      <c r="D23" s="30" t="n">
        <f aca="false">-(D10+D11)*Assumptions!$B$20</f>
        <v>-890.7045</v>
      </c>
      <c r="E23" s="30" t="n">
        <f aca="false">-(E10+E11)*Assumptions!$B$20</f>
        <v>-1781.409</v>
      </c>
      <c r="F23" s="30" t="n">
        <f aca="false">-(F10+F11)*Assumptions!$B$20</f>
        <v>-1781.409</v>
      </c>
      <c r="G23" s="30" t="n">
        <f aca="false">-(G10+G11)*Assumptions!$B$20</f>
        <v>-2672.1135</v>
      </c>
      <c r="H23" s="30" t="n">
        <f aca="false">-(H10+H11)*Assumptions!$B$20</f>
        <v>-3562.818</v>
      </c>
      <c r="I23" s="30" t="n">
        <f aca="false">-(I10+I11)*Assumptions!$B$20</f>
        <v>-4453.5225</v>
      </c>
      <c r="J23" s="30" t="n">
        <f aca="false">-(J10+J11)*Assumptions!$B$20</f>
        <v>-5344.227</v>
      </c>
      <c r="K23" s="30" t="n">
        <f aca="false">-(K10+K11)*Assumptions!$B$20</f>
        <v>-6234.9315</v>
      </c>
      <c r="L23" s="30" t="n">
        <f aca="false">-(L10+L11)*Assumptions!$B$20</f>
        <v>-7125.636</v>
      </c>
      <c r="M23" s="30" t="n">
        <f aca="false">-(M10+M11)*Assumptions!$B$20</f>
        <v>-8016.3405</v>
      </c>
      <c r="N23" s="30" t="n">
        <f aca="false">-(N10+N11)*Assumptions!$B$20</f>
        <v>-8907.045</v>
      </c>
    </row>
    <row r="24" customFormat="false" ht="15" hidden="false" customHeight="false" outlineLevel="0" collapsed="false">
      <c r="A24" s="5" t="s">
        <v>151</v>
      </c>
      <c r="B24" s="30" t="n">
        <f aca="false">SUM(C24:N24)</f>
        <v>-14250</v>
      </c>
      <c r="C24" s="30" t="n">
        <f aca="false">-C6*Assumptions!$B$21</f>
        <v>-0</v>
      </c>
      <c r="D24" s="30" t="n">
        <f aca="false">-D6*Assumptions!$B$21</f>
        <v>-250</v>
      </c>
      <c r="E24" s="30" t="n">
        <f aca="false">-E6*Assumptions!$B$21</f>
        <v>-500</v>
      </c>
      <c r="F24" s="30" t="n">
        <f aca="false">-F6*Assumptions!$B$21</f>
        <v>-500</v>
      </c>
      <c r="G24" s="30" t="n">
        <f aca="false">-G6*Assumptions!$B$21</f>
        <v>-750</v>
      </c>
      <c r="H24" s="30" t="n">
        <f aca="false">-H6*Assumptions!$B$21</f>
        <v>-1000</v>
      </c>
      <c r="I24" s="30" t="n">
        <f aca="false">-I6*Assumptions!$B$21</f>
        <v>-1250</v>
      </c>
      <c r="J24" s="30" t="n">
        <f aca="false">-J6*Assumptions!$B$21</f>
        <v>-1500</v>
      </c>
      <c r="K24" s="30" t="n">
        <f aca="false">-K6*Assumptions!$B$21</f>
        <v>-1750</v>
      </c>
      <c r="L24" s="30" t="n">
        <f aca="false">-L6*Assumptions!$B$21</f>
        <v>-2000</v>
      </c>
      <c r="M24" s="30" t="n">
        <f aca="false">-M6*Assumptions!$B$21</f>
        <v>-2250</v>
      </c>
      <c r="N24" s="30" t="n">
        <f aca="false">-N6*Assumptions!$B$21</f>
        <v>-2500</v>
      </c>
    </row>
    <row r="25" customFormat="false" ht="15" hidden="false" customHeight="false" outlineLevel="0" collapsed="false">
      <c r="A25" s="8" t="s">
        <v>152</v>
      </c>
      <c r="B25" s="31" t="n">
        <f aca="false">SUM(C25:N25)</f>
        <v>-637705.1565</v>
      </c>
      <c r="C25" s="31" t="n">
        <f aca="false">SUM(C16:C24)</f>
        <v>0</v>
      </c>
      <c r="D25" s="31" t="n">
        <f aca="false">SUM(D16:D24)</f>
        <v>-11180.7045</v>
      </c>
      <c r="E25" s="31" t="n">
        <f aca="false">SUM(E16:E24)</f>
        <v>-22361.409</v>
      </c>
      <c r="F25" s="31" t="n">
        <f aca="false">SUM(F16:F24)</f>
        <v>-22361.409</v>
      </c>
      <c r="G25" s="31" t="n">
        <f aca="false">SUM(G16:G24)</f>
        <v>-33555.6135</v>
      </c>
      <c r="H25" s="31" t="n">
        <f aca="false">SUM(H16:H24)</f>
        <v>-44749.818</v>
      </c>
      <c r="I25" s="31" t="n">
        <f aca="false">SUM(I16:I24)</f>
        <v>-55930.5225</v>
      </c>
      <c r="J25" s="31" t="n">
        <f aca="false">SUM(J16:J24)</f>
        <v>-67124.727</v>
      </c>
      <c r="K25" s="31" t="n">
        <f aca="false">SUM(K16:K24)</f>
        <v>-78318.9315</v>
      </c>
      <c r="L25" s="31" t="n">
        <f aca="false">SUM(L16:L24)</f>
        <v>-89513.136</v>
      </c>
      <c r="M25" s="31" t="n">
        <f aca="false">SUM(M16:M24)</f>
        <v>-100707.3405</v>
      </c>
      <c r="N25" s="31" t="n">
        <f aca="false">SUM(N16:N24)</f>
        <v>-111901.545</v>
      </c>
    </row>
    <row r="27" customFormat="false" ht="15" hidden="false" customHeight="false" outlineLevel="0" collapsed="false">
      <c r="A27" s="8" t="s">
        <v>10</v>
      </c>
      <c r="B27" s="31" t="n">
        <f aca="false">SUM(C27:N27)</f>
        <v>790371.6435</v>
      </c>
      <c r="C27" s="31" t="n">
        <f aca="false">C13+C25</f>
        <v>0</v>
      </c>
      <c r="D27" s="31" t="n">
        <f aca="false">D13+D25</f>
        <v>14267.9955</v>
      </c>
      <c r="E27" s="31" t="n">
        <f aca="false">E13+E25</f>
        <v>28535.991</v>
      </c>
      <c r="F27" s="31" t="n">
        <f aca="false">F13+F25</f>
        <v>28535.991</v>
      </c>
      <c r="G27" s="31" t="n">
        <f aca="false">G13+G25</f>
        <v>42040.5165</v>
      </c>
      <c r="H27" s="31" t="n">
        <f aca="false">H13+H25</f>
        <v>55545.042</v>
      </c>
      <c r="I27" s="31" t="n">
        <f aca="false">I13+I25</f>
        <v>69813.0375</v>
      </c>
      <c r="J27" s="31" t="n">
        <f aca="false">J13+J25</f>
        <v>83317.563</v>
      </c>
      <c r="K27" s="31" t="n">
        <f aca="false">K13+K25</f>
        <v>96822.0885</v>
      </c>
      <c r="L27" s="31" t="n">
        <f aca="false">L13+L25</f>
        <v>110326.614</v>
      </c>
      <c r="M27" s="31" t="n">
        <f aca="false">M13+M25</f>
        <v>123831.1395</v>
      </c>
      <c r="N27" s="31" t="n">
        <f aca="false">N13+N25</f>
        <v>137335.665</v>
      </c>
    </row>
    <row r="29" customFormat="false" ht="15" hidden="false" customHeight="false" outlineLevel="0" collapsed="false">
      <c r="A29" s="3" t="s">
        <v>153</v>
      </c>
      <c r="B29" s="3"/>
      <c r="C29" s="3"/>
      <c r="D29" s="3"/>
      <c r="E29" s="3"/>
      <c r="F29" s="3"/>
      <c r="G29" s="3"/>
      <c r="H29" s="3"/>
      <c r="I29" s="3"/>
      <c r="J29" s="3"/>
      <c r="K29" s="3"/>
      <c r="L29" s="3"/>
      <c r="M29" s="3"/>
      <c r="N29" s="3"/>
    </row>
    <row r="30" customFormat="false" ht="15" hidden="false" customHeight="false" outlineLevel="0" collapsed="false">
      <c r="A30" s="5" t="s">
        <v>12</v>
      </c>
      <c r="B30" s="30" t="n">
        <f aca="false">SUM(C30:N30)</f>
        <v>-108000</v>
      </c>
      <c r="C30" s="14" t="n">
        <f aca="false">-Assumptions!C64</f>
        <v>-0</v>
      </c>
      <c r="D30" s="14" t="n">
        <f aca="false">-Assumptions!D64</f>
        <v>-8000</v>
      </c>
      <c r="E30" s="14" t="n">
        <f aca="false">-Assumptions!E64</f>
        <v>-10000</v>
      </c>
      <c r="F30" s="14" t="n">
        <f aca="false">-Assumptions!F64</f>
        <v>-10000</v>
      </c>
      <c r="G30" s="14" t="n">
        <f aca="false">-Assumptions!G64</f>
        <v>-10000</v>
      </c>
      <c r="H30" s="14" t="n">
        <f aca="false">-Assumptions!H64</f>
        <v>-10000</v>
      </c>
      <c r="I30" s="14" t="n">
        <f aca="false">-Assumptions!I64</f>
        <v>-10000</v>
      </c>
      <c r="J30" s="14" t="n">
        <f aca="false">-Assumptions!J64</f>
        <v>-10000</v>
      </c>
      <c r="K30" s="14" t="n">
        <f aca="false">-Assumptions!K64</f>
        <v>-10000</v>
      </c>
      <c r="L30" s="14" t="n">
        <f aca="false">-Assumptions!L64</f>
        <v>-10000</v>
      </c>
      <c r="M30" s="14" t="n">
        <f aca="false">-Assumptions!M64</f>
        <v>-10000</v>
      </c>
      <c r="N30" s="14" t="n">
        <f aca="false">-Assumptions!N64</f>
        <v>-10000</v>
      </c>
    </row>
    <row r="31" customFormat="false" ht="15" hidden="false" customHeight="false" outlineLevel="0" collapsed="false">
      <c r="A31" s="5" t="s">
        <v>14</v>
      </c>
      <c r="B31" s="30" t="n">
        <f aca="false">SUM(C31:N31)</f>
        <v>-24500</v>
      </c>
      <c r="C31" s="30" t="n">
        <f aca="false">-SUMPRODUCT((Assumptions!$C$38:$C$43&lt;=C$4)*Assumptions!$B$38:$B$43)</f>
        <v>-850</v>
      </c>
      <c r="D31" s="30" t="n">
        <f aca="false">-SUMPRODUCT((Assumptions!$C$38:$C$43&lt;=D$4)*Assumptions!$B$38:$B$43)</f>
        <v>-2150</v>
      </c>
      <c r="E31" s="30" t="n">
        <f aca="false">-SUMPRODUCT((Assumptions!$C$38:$C$43&lt;=E$4)*Assumptions!$B$38:$B$43)</f>
        <v>-2150</v>
      </c>
      <c r="F31" s="30" t="n">
        <f aca="false">-SUMPRODUCT((Assumptions!$C$38:$C$43&lt;=F$4)*Assumptions!$B$38:$B$43)</f>
        <v>-2150</v>
      </c>
      <c r="G31" s="30" t="n">
        <f aca="false">-SUMPRODUCT((Assumptions!$C$38:$C$43&lt;=G$4)*Assumptions!$B$38:$B$43)</f>
        <v>-2150</v>
      </c>
      <c r="H31" s="30" t="n">
        <f aca="false">-SUMPRODUCT((Assumptions!$C$38:$C$43&lt;=H$4)*Assumptions!$B$38:$B$43)</f>
        <v>-2150</v>
      </c>
      <c r="I31" s="30" t="n">
        <f aca="false">-SUMPRODUCT((Assumptions!$C$38:$C$43&lt;=I$4)*Assumptions!$B$38:$B$43)</f>
        <v>-2150</v>
      </c>
      <c r="J31" s="30" t="n">
        <f aca="false">-SUMPRODUCT((Assumptions!$C$38:$C$43&lt;=J$4)*Assumptions!$B$38:$B$43)</f>
        <v>-2150</v>
      </c>
      <c r="K31" s="30" t="n">
        <f aca="false">-SUMPRODUCT((Assumptions!$C$38:$C$43&lt;=K$4)*Assumptions!$B$38:$B$43)</f>
        <v>-2150</v>
      </c>
      <c r="L31" s="30" t="n">
        <f aca="false">-SUMPRODUCT((Assumptions!$C$38:$C$43&lt;=L$4)*Assumptions!$B$38:$B$43)</f>
        <v>-2150</v>
      </c>
      <c r="M31" s="30" t="n">
        <f aca="false">-SUMPRODUCT((Assumptions!$C$38:$C$43&lt;=M$4)*Assumptions!$B$38:$B$43)</f>
        <v>-2150</v>
      </c>
      <c r="N31" s="30" t="n">
        <f aca="false">-SUMPRODUCT((Assumptions!$C$38:$C$43&lt;=N$4)*Assumptions!$B$38:$B$43)</f>
        <v>-2150</v>
      </c>
    </row>
    <row r="32" customFormat="false" ht="15" hidden="false" customHeight="false" outlineLevel="0" collapsed="false">
      <c r="A32" s="5" t="s">
        <v>15</v>
      </c>
      <c r="B32" s="30" t="n">
        <f aca="false">SUM(C32:N32)</f>
        <v>-20380</v>
      </c>
      <c r="C32" s="30" t="n">
        <f aca="false">-SUMIF(Assumptions!$C$48:$C$58,C$4,Assumptions!$B$48:$B$58)</f>
        <v>-10380</v>
      </c>
      <c r="D32" s="30" t="n">
        <f aca="false">-SUMIF(Assumptions!$C$48:$C$58,D$4,Assumptions!$B$48:$B$58)</f>
        <v>-5000</v>
      </c>
      <c r="E32" s="30" t="n">
        <f aca="false">-SUMIF(Assumptions!$C$48:$C$58,E$4,Assumptions!$B$48:$B$58)</f>
        <v>-5000</v>
      </c>
      <c r="F32" s="30" t="n">
        <f aca="false">-SUMIF(Assumptions!$C$48:$C$58,F$4,Assumptions!$B$48:$B$58)</f>
        <v>-0</v>
      </c>
      <c r="G32" s="30" t="n">
        <f aca="false">-SUMIF(Assumptions!$C$48:$C$58,G$4,Assumptions!$B$48:$B$58)</f>
        <v>-0</v>
      </c>
      <c r="H32" s="30" t="n">
        <f aca="false">-SUMIF(Assumptions!$C$48:$C$58,H$4,Assumptions!$B$48:$B$58)</f>
        <v>-0</v>
      </c>
      <c r="I32" s="30" t="n">
        <f aca="false">-SUMIF(Assumptions!$C$48:$C$58,I$4,Assumptions!$B$48:$B$58)</f>
        <v>-0</v>
      </c>
      <c r="J32" s="30" t="n">
        <f aca="false">-SUMIF(Assumptions!$C$48:$C$58,J$4,Assumptions!$B$48:$B$58)</f>
        <v>-0</v>
      </c>
      <c r="K32" s="30" t="n">
        <f aca="false">-SUMIF(Assumptions!$C$48:$C$58,K$4,Assumptions!$B$48:$B$58)</f>
        <v>-0</v>
      </c>
      <c r="L32" s="30" t="n">
        <f aca="false">-SUMIF(Assumptions!$C$48:$C$58,L$4,Assumptions!$B$48:$B$58)</f>
        <v>-0</v>
      </c>
      <c r="M32" s="30" t="n">
        <f aca="false">-SUMIF(Assumptions!$C$48:$C$58,M$4,Assumptions!$B$48:$B$58)</f>
        <v>-0</v>
      </c>
      <c r="N32" s="30" t="n">
        <f aca="false">-SUMIF(Assumptions!$C$48:$C$58,N$4,Assumptions!$B$48:$B$58)</f>
        <v>-0</v>
      </c>
    </row>
    <row r="33" customFormat="false" ht="15" hidden="false" customHeight="false" outlineLevel="0" collapsed="false">
      <c r="A33" s="5" t="s">
        <v>154</v>
      </c>
      <c r="B33" s="30" t="n">
        <f aca="false">SUM(C33:N33)</f>
        <v>0</v>
      </c>
      <c r="C33" s="30" t="n">
        <f aca="false">IF(C$4&gt;=$B$46,-(C13+SUM(C16:C22))*Assumptions!$B$28/(1+Assumptions!$B$28),0)</f>
        <v>0</v>
      </c>
      <c r="D33" s="30" t="n">
        <f aca="false">IF(D$4&gt;=$B$46,-(D13+SUM(D16:D22))*Assumptions!$B$28/(1+Assumptions!$B$28),0)</f>
        <v>0</v>
      </c>
      <c r="E33" s="30" t="n">
        <f aca="false">IF(E$4&gt;=$B$46,-(E13+SUM(E16:E22))*Assumptions!$B$28/(1+Assumptions!$B$28),0)</f>
        <v>0</v>
      </c>
      <c r="F33" s="30" t="n">
        <f aca="false">IF(F$4&gt;=$B$46,-(F13+SUM(F16:F22))*Assumptions!$B$28/(1+Assumptions!$B$28),0)</f>
        <v>0</v>
      </c>
      <c r="G33" s="30" t="n">
        <f aca="false">IF(G$4&gt;=$B$46,-(G13+SUM(G16:G22))*Assumptions!$B$28/(1+Assumptions!$B$28),0)</f>
        <v>0</v>
      </c>
      <c r="H33" s="30" t="n">
        <f aca="false">IF(H$4&gt;=$B$46,-(H13+SUM(H16:H22))*Assumptions!$B$28/(1+Assumptions!$B$28),0)</f>
        <v>0</v>
      </c>
      <c r="I33" s="30" t="n">
        <f aca="false">IF(I$4&gt;=$B$46,-(I13+SUM(I16:I22))*Assumptions!$B$28/(1+Assumptions!$B$28),0)</f>
        <v>0</v>
      </c>
      <c r="J33" s="30" t="n">
        <f aca="false">IF(J$4&gt;=$B$46,-(J13+SUM(J16:J22))*Assumptions!$B$28/(1+Assumptions!$B$28),0)</f>
        <v>0</v>
      </c>
      <c r="K33" s="30" t="n">
        <f aca="false">IF(K$4&gt;=$B$46,-(K13+SUM(K16:K22))*Assumptions!$B$28/(1+Assumptions!$B$28),0)</f>
        <v>0</v>
      </c>
      <c r="L33" s="30" t="n">
        <f aca="false">IF(L$4&gt;=$B$46,-(L13+SUM(L16:L22))*Assumptions!$B$28/(1+Assumptions!$B$28),0)</f>
        <v>0</v>
      </c>
      <c r="M33" s="30" t="n">
        <f aca="false">IF(M$4&gt;=$B$46,-(M13+SUM(M16:M22))*Assumptions!$B$28/(1+Assumptions!$B$28),0)</f>
        <v>0</v>
      </c>
      <c r="N33" s="30" t="n">
        <f aca="false">IF(N$4&gt;=$B$46,-(N13+SUM(N16:N22))*Assumptions!$B$28/(1+Assumptions!$B$28),0)</f>
        <v>0</v>
      </c>
    </row>
    <row r="34" customFormat="false" ht="15" hidden="false" customHeight="false" outlineLevel="0" collapsed="false">
      <c r="A34" s="8" t="s">
        <v>155</v>
      </c>
      <c r="B34" s="31" t="n">
        <f aca="false">SUM(C34:N34)</f>
        <v>-152880</v>
      </c>
      <c r="C34" s="31" t="n">
        <f aca="false">SUM(C30:C33)</f>
        <v>-11230</v>
      </c>
      <c r="D34" s="31" t="n">
        <f aca="false">SUM(D30:D33)</f>
        <v>-15150</v>
      </c>
      <c r="E34" s="31" t="n">
        <f aca="false">SUM(E30:E33)</f>
        <v>-17150</v>
      </c>
      <c r="F34" s="31" t="n">
        <f aca="false">SUM(F30:F33)</f>
        <v>-12150</v>
      </c>
      <c r="G34" s="31" t="n">
        <f aca="false">SUM(G30:G33)</f>
        <v>-12150</v>
      </c>
      <c r="H34" s="31" t="n">
        <f aca="false">SUM(H30:H33)</f>
        <v>-12150</v>
      </c>
      <c r="I34" s="31" t="n">
        <f aca="false">SUM(I30:I33)</f>
        <v>-12150</v>
      </c>
      <c r="J34" s="31" t="n">
        <f aca="false">SUM(J30:J33)</f>
        <v>-12150</v>
      </c>
      <c r="K34" s="31" t="n">
        <f aca="false">SUM(K30:K33)</f>
        <v>-12150</v>
      </c>
      <c r="L34" s="31" t="n">
        <f aca="false">SUM(L30:L33)</f>
        <v>-12150</v>
      </c>
      <c r="M34" s="31" t="n">
        <f aca="false">SUM(M30:M33)</f>
        <v>-12150</v>
      </c>
      <c r="N34" s="31" t="n">
        <f aca="false">SUM(N30:N33)</f>
        <v>-12150</v>
      </c>
    </row>
    <row r="36" customFormat="false" ht="15" hidden="false" customHeight="false" outlineLevel="0" collapsed="false">
      <c r="A36" s="8" t="s">
        <v>156</v>
      </c>
      <c r="B36" s="31" t="n">
        <f aca="false">SUM(C36:N36)</f>
        <v>637491.6435</v>
      </c>
      <c r="C36" s="31" t="n">
        <f aca="false">C27+C34</f>
        <v>-11230</v>
      </c>
      <c r="D36" s="31" t="n">
        <f aca="false">D27+D34</f>
        <v>-882.004499999999</v>
      </c>
      <c r="E36" s="31" t="n">
        <f aca="false">E27+E34</f>
        <v>11385.991</v>
      </c>
      <c r="F36" s="31" t="n">
        <f aca="false">F27+F34</f>
        <v>16385.991</v>
      </c>
      <c r="G36" s="31" t="n">
        <f aca="false">G27+G34</f>
        <v>29890.5165</v>
      </c>
      <c r="H36" s="31" t="n">
        <f aca="false">H27+H34</f>
        <v>43395.042</v>
      </c>
      <c r="I36" s="31" t="n">
        <f aca="false">I27+I34</f>
        <v>57663.0375</v>
      </c>
      <c r="J36" s="31" t="n">
        <f aca="false">J27+J34</f>
        <v>71167.563</v>
      </c>
      <c r="K36" s="31" t="n">
        <f aca="false">K27+K34</f>
        <v>84672.0885</v>
      </c>
      <c r="L36" s="31" t="n">
        <f aca="false">L27+L34</f>
        <v>98176.614</v>
      </c>
      <c r="M36" s="31" t="n">
        <f aca="false">M27+M34</f>
        <v>111681.1395</v>
      </c>
      <c r="N36" s="31" t="n">
        <f aca="false">N27+N34</f>
        <v>125185.665</v>
      </c>
    </row>
    <row r="37" customFormat="false" ht="15" hidden="false" customHeight="false" outlineLevel="0" collapsed="false">
      <c r="A37" s="5" t="s">
        <v>74</v>
      </c>
      <c r="B37" s="30" t="n">
        <f aca="false">SUM(C37:N37)</f>
        <v>40000</v>
      </c>
      <c r="C37" s="30" t="n">
        <f aca="false">IF(C$4=Assumptions!$B$34,Assumptions!$B$33,0)</f>
        <v>40000</v>
      </c>
      <c r="D37" s="30" t="n">
        <f aca="false">IF(D$4=Assumptions!$B$34,Assumptions!$B$33,0)</f>
        <v>0</v>
      </c>
      <c r="E37" s="30" t="n">
        <f aca="false">IF(E$4=Assumptions!$B$34,Assumptions!$B$33,0)</f>
        <v>0</v>
      </c>
      <c r="F37" s="30" t="n">
        <f aca="false">IF(F$4=Assumptions!$B$34,Assumptions!$B$33,0)</f>
        <v>0</v>
      </c>
      <c r="G37" s="30" t="n">
        <f aca="false">IF(G$4=Assumptions!$B$34,Assumptions!$B$33,0)</f>
        <v>0</v>
      </c>
      <c r="H37" s="30" t="n">
        <f aca="false">IF(H$4=Assumptions!$B$34,Assumptions!$B$33,0)</f>
        <v>0</v>
      </c>
      <c r="I37" s="30" t="n">
        <f aca="false">IF(I$4=Assumptions!$B$34,Assumptions!$B$33,0)</f>
        <v>0</v>
      </c>
      <c r="J37" s="30" t="n">
        <f aca="false">IF(J$4=Assumptions!$B$34,Assumptions!$B$33,0)</f>
        <v>0</v>
      </c>
      <c r="K37" s="30" t="n">
        <f aca="false">IF(K$4=Assumptions!$B$34,Assumptions!$B$33,0)</f>
        <v>0</v>
      </c>
      <c r="L37" s="30" t="n">
        <f aca="false">IF(L$4=Assumptions!$B$34,Assumptions!$B$33,0)</f>
        <v>0</v>
      </c>
      <c r="M37" s="30" t="n">
        <f aca="false">IF(M$4=Assumptions!$B$34,Assumptions!$B$33,0)</f>
        <v>0</v>
      </c>
      <c r="N37" s="30" t="n">
        <f aca="false">IF(N$4=Assumptions!$B$34,Assumptions!$B$33,0)</f>
        <v>0</v>
      </c>
    </row>
    <row r="38" customFormat="false" ht="15" hidden="false" customHeight="false" outlineLevel="0" collapsed="false">
      <c r="A38" s="5" t="s">
        <v>157</v>
      </c>
      <c r="C38" s="30" t="n">
        <f aca="false">0</f>
        <v>0</v>
      </c>
      <c r="D38" s="30" t="n">
        <f aca="false">C39</f>
        <v>28770</v>
      </c>
      <c r="E38" s="30" t="n">
        <f aca="false">D39</f>
        <v>27887.9955</v>
      </c>
      <c r="F38" s="30" t="n">
        <f aca="false">E39</f>
        <v>39273.9865</v>
      </c>
      <c r="G38" s="30" t="n">
        <f aca="false">F39</f>
        <v>55659.9775</v>
      </c>
      <c r="H38" s="30" t="n">
        <f aca="false">G39</f>
        <v>85550.494</v>
      </c>
      <c r="I38" s="30" t="n">
        <f aca="false">H39</f>
        <v>128945.536</v>
      </c>
      <c r="J38" s="30" t="n">
        <f aca="false">I39</f>
        <v>186608.5735</v>
      </c>
      <c r="K38" s="30" t="n">
        <f aca="false">J39</f>
        <v>257776.1365</v>
      </c>
      <c r="L38" s="30" t="n">
        <f aca="false">K39</f>
        <v>342448.225</v>
      </c>
      <c r="M38" s="30" t="n">
        <f aca="false">L39</f>
        <v>440624.839</v>
      </c>
      <c r="N38" s="30" t="n">
        <f aca="false">M39</f>
        <v>552305.9785</v>
      </c>
    </row>
    <row r="39" customFormat="false" ht="15" hidden="false" customHeight="false" outlineLevel="0" collapsed="false">
      <c r="A39" s="8" t="s">
        <v>158</v>
      </c>
      <c r="B39" s="32"/>
      <c r="C39" s="31" t="n">
        <f aca="false">C38+C36+C37</f>
        <v>28770</v>
      </c>
      <c r="D39" s="31" t="n">
        <f aca="false">D38+D36+D37</f>
        <v>27887.9955</v>
      </c>
      <c r="E39" s="31" t="n">
        <f aca="false">E38+E36+E37</f>
        <v>39273.9865</v>
      </c>
      <c r="F39" s="31" t="n">
        <f aca="false">F38+F36+F37</f>
        <v>55659.9775</v>
      </c>
      <c r="G39" s="31" t="n">
        <f aca="false">G38+G36+G37</f>
        <v>85550.494</v>
      </c>
      <c r="H39" s="31" t="n">
        <f aca="false">H38+H36+H37</f>
        <v>128945.536</v>
      </c>
      <c r="I39" s="31" t="n">
        <f aca="false">I38+I36+I37</f>
        <v>186608.5735</v>
      </c>
      <c r="J39" s="31" t="n">
        <f aca="false">J38+J36+J37</f>
        <v>257776.1365</v>
      </c>
      <c r="K39" s="31" t="n">
        <f aca="false">K38+K36+K37</f>
        <v>342448.225</v>
      </c>
      <c r="L39" s="31" t="n">
        <f aca="false">L38+L36+L37</f>
        <v>440624.839</v>
      </c>
      <c r="M39" s="31" t="n">
        <f aca="false">M38+M36+M37</f>
        <v>552305.9785</v>
      </c>
      <c r="N39" s="31" t="n">
        <f aca="false">N38+N36+N37</f>
        <v>677491.6435</v>
      </c>
    </row>
    <row r="41" customFormat="false" ht="15" hidden="false" customHeight="false" outlineLevel="0" collapsed="false">
      <c r="A41" s="3" t="s">
        <v>159</v>
      </c>
      <c r="B41" s="3"/>
      <c r="C41" s="3"/>
      <c r="D41" s="3"/>
      <c r="E41" s="3"/>
      <c r="F41" s="3"/>
      <c r="G41" s="3"/>
      <c r="H41" s="3"/>
      <c r="I41" s="3"/>
      <c r="J41" s="3"/>
      <c r="K41" s="3"/>
      <c r="L41" s="3"/>
      <c r="M41" s="3"/>
      <c r="N41" s="3"/>
    </row>
    <row r="42" customFormat="false" ht="15" hidden="false" customHeight="false" outlineLevel="0" collapsed="false">
      <c r="A42" s="5" t="s">
        <v>160</v>
      </c>
      <c r="C42" s="30" t="n">
        <f aca="false">C36</f>
        <v>-11230</v>
      </c>
      <c r="D42" s="30" t="n">
        <f aca="false">C42+D36</f>
        <v>-12112.0045</v>
      </c>
      <c r="E42" s="30" t="n">
        <f aca="false">D42+E36</f>
        <v>-726.013499999997</v>
      </c>
      <c r="F42" s="30" t="n">
        <f aca="false">E42+F36</f>
        <v>15659.9775</v>
      </c>
      <c r="G42" s="30" t="n">
        <f aca="false">F42+G36</f>
        <v>45550.494</v>
      </c>
      <c r="H42" s="30" t="n">
        <f aca="false">G42+H36</f>
        <v>88945.536</v>
      </c>
      <c r="I42" s="30" t="n">
        <f aca="false">H42+I36</f>
        <v>146608.5735</v>
      </c>
      <c r="J42" s="30" t="n">
        <f aca="false">I42+J36</f>
        <v>217776.1365</v>
      </c>
      <c r="K42" s="30" t="n">
        <f aca="false">J42+K36</f>
        <v>302448.225</v>
      </c>
      <c r="L42" s="30" t="n">
        <f aca="false">K42+L36</f>
        <v>400624.839</v>
      </c>
      <c r="M42" s="30" t="n">
        <f aca="false">L42+M36</f>
        <v>512305.9785</v>
      </c>
      <c r="N42" s="30" t="n">
        <f aca="false">M42+N36</f>
        <v>637491.6435</v>
      </c>
    </row>
    <row r="43" customFormat="false" ht="15" hidden="false" customHeight="false" outlineLevel="0" collapsed="false">
      <c r="A43" s="5" t="s">
        <v>161</v>
      </c>
      <c r="C43" s="30" t="n">
        <f aca="false">C10+C11</f>
        <v>0</v>
      </c>
      <c r="D43" s="30" t="n">
        <f aca="false">C43+D10+D11</f>
        <v>25448.7</v>
      </c>
      <c r="E43" s="30" t="n">
        <f aca="false">D43+E10+E11</f>
        <v>76346.1</v>
      </c>
      <c r="F43" s="30" t="n">
        <f aca="false">E43+F10+F11</f>
        <v>127243.5</v>
      </c>
      <c r="G43" s="30" t="n">
        <f aca="false">F43+G10+G11</f>
        <v>203589.6</v>
      </c>
      <c r="H43" s="30" t="n">
        <f aca="false">G43+H10+H11</f>
        <v>305384.4</v>
      </c>
      <c r="I43" s="30" t="n">
        <f aca="false">H43+I10+I11</f>
        <v>432627.9</v>
      </c>
      <c r="J43" s="30" t="n">
        <f aca="false">I43+J10+J11</f>
        <v>585320.1</v>
      </c>
      <c r="K43" s="30" t="n">
        <f aca="false">J43+K10+K11</f>
        <v>763461</v>
      </c>
      <c r="L43" s="30" t="n">
        <f aca="false">K43+L10+L11</f>
        <v>967050.6</v>
      </c>
      <c r="M43" s="30" t="n">
        <f aca="false">L43+M10+M11</f>
        <v>1196088.9</v>
      </c>
      <c r="N43" s="30" t="n">
        <f aca="false">M43+N10+N11</f>
        <v>1450575.9</v>
      </c>
    </row>
    <row r="44" customFormat="false" ht="15" hidden="false" customHeight="false" outlineLevel="0" collapsed="false">
      <c r="A44" s="5" t="s">
        <v>162</v>
      </c>
      <c r="C44" s="33" t="n">
        <f aca="false">IF(C43&gt;Assumptions!$B$29,1,0)</f>
        <v>0</v>
      </c>
      <c r="D44" s="33" t="n">
        <f aca="false">IF(D43&gt;Assumptions!$B$29,1,0)</f>
        <v>0</v>
      </c>
      <c r="E44" s="33" t="n">
        <f aca="false">IF(E43&gt;Assumptions!$B$29,1,0)</f>
        <v>0</v>
      </c>
      <c r="F44" s="33" t="n">
        <f aca="false">IF(F43&gt;Assumptions!$B$29,1,0)</f>
        <v>0</v>
      </c>
      <c r="G44" s="33" t="n">
        <f aca="false">IF(G43&gt;Assumptions!$B$29,1,0)</f>
        <v>0</v>
      </c>
      <c r="H44" s="33" t="n">
        <f aca="false">IF(H43&gt;Assumptions!$B$29,1,0)</f>
        <v>0</v>
      </c>
      <c r="I44" s="33" t="n">
        <f aca="false">IF(I43&gt;Assumptions!$B$29,1,0)</f>
        <v>0</v>
      </c>
      <c r="J44" s="33" t="n">
        <f aca="false">IF(J43&gt;Assumptions!$B$29,1,0)</f>
        <v>0</v>
      </c>
      <c r="K44" s="33" t="n">
        <f aca="false">IF(K43&gt;Assumptions!$B$29,1,0)</f>
        <v>0</v>
      </c>
      <c r="L44" s="33" t="n">
        <f aca="false">IF(L43&gt;Assumptions!$B$29,1,0)</f>
        <v>0</v>
      </c>
      <c r="M44" s="33" t="n">
        <f aca="false">IF(M43&gt;Assumptions!$B$29,1,0)</f>
        <v>0</v>
      </c>
      <c r="N44" s="33" t="n">
        <f aca="false">IF(N43&gt;Assumptions!$B$29,1,0)</f>
        <v>0</v>
      </c>
    </row>
    <row r="45" customFormat="false" ht="15" hidden="false" customHeight="false" outlineLevel="0" collapsed="false">
      <c r="A45" s="5" t="s">
        <v>163</v>
      </c>
      <c r="C45" s="33" t="n">
        <f aca="false">IF(C42&gt;=0,1,0)</f>
        <v>0</v>
      </c>
      <c r="D45" s="33" t="n">
        <f aca="false">IF(D42&gt;=0,1,0)</f>
        <v>0</v>
      </c>
      <c r="E45" s="33" t="n">
        <f aca="false">IF(E42&gt;=0,1,0)</f>
        <v>0</v>
      </c>
      <c r="F45" s="33" t="n">
        <f aca="false">IF(F42&gt;=0,1,0)</f>
        <v>1</v>
      </c>
      <c r="G45" s="33" t="n">
        <f aca="false">IF(G42&gt;=0,1,0)</f>
        <v>1</v>
      </c>
      <c r="H45" s="33" t="n">
        <f aca="false">IF(H42&gt;=0,1,0)</f>
        <v>1</v>
      </c>
      <c r="I45" s="33" t="n">
        <f aca="false">IF(I42&gt;=0,1,0)</f>
        <v>1</v>
      </c>
      <c r="J45" s="33" t="n">
        <f aca="false">IF(J42&gt;=0,1,0)</f>
        <v>1</v>
      </c>
      <c r="K45" s="33" t="n">
        <f aca="false">IF(K42&gt;=0,1,0)</f>
        <v>1</v>
      </c>
      <c r="L45" s="33" t="n">
        <f aca="false">IF(L42&gt;=0,1,0)</f>
        <v>1</v>
      </c>
      <c r="M45" s="33" t="n">
        <f aca="false">IF(M42&gt;=0,1,0)</f>
        <v>1</v>
      </c>
      <c r="N45" s="33" t="n">
        <f aca="false">IF(N42&gt;=0,1,0)</f>
        <v>1</v>
      </c>
    </row>
    <row r="46" customFormat="false" ht="15" hidden="false" customHeight="false" outlineLevel="0" collapsed="false">
      <c r="A46" s="5" t="s">
        <v>164</v>
      </c>
      <c r="B46" s="34" t="n">
        <f aca="false">MIN(Assumptions!B30,IFERROR(MATCH(1,C44:N44,0)+1,13))</f>
        <v>13</v>
      </c>
      <c r="C46" s="2" t="s">
        <v>165</v>
      </c>
    </row>
    <row r="48" customFormat="false" ht="15" hidden="false" customHeight="false" outlineLevel="0" collapsed="false">
      <c r="A48" s="2"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14" min="3" style="0" width="11"/>
  </cols>
  <sheetData>
    <row r="1" customFormat="false" ht="17.35" hidden="false" customHeight="false" outlineLevel="0" collapsed="false">
      <c r="A1" s="1" t="s">
        <v>168</v>
      </c>
    </row>
    <row r="2" customFormat="false" ht="15" hidden="false" customHeight="false" outlineLevel="0" collapsed="false">
      <c r="A2" s="5" t="s">
        <v>135</v>
      </c>
      <c r="B2" s="26" t="n">
        <v>3</v>
      </c>
      <c r="C2" s="2" t="s">
        <v>136</v>
      </c>
    </row>
    <row r="4" customFormat="false" ht="15" hidden="false" customHeight="false" outlineLevel="0" collapsed="false">
      <c r="A4" s="11" t="s">
        <v>93</v>
      </c>
      <c r="C4" s="27" t="n">
        <f aca="false">Assumptions!C62</f>
        <v>1</v>
      </c>
      <c r="D4" s="27" t="n">
        <f aca="false">Assumptions!D62</f>
        <v>2</v>
      </c>
      <c r="E4" s="27" t="n">
        <f aca="false">Assumptions!E62</f>
        <v>3</v>
      </c>
      <c r="F4" s="27" t="n">
        <f aca="false">Assumptions!F62</f>
        <v>4</v>
      </c>
      <c r="G4" s="27" t="n">
        <f aca="false">Assumptions!G62</f>
        <v>5</v>
      </c>
      <c r="H4" s="27" t="n">
        <f aca="false">Assumptions!H62</f>
        <v>6</v>
      </c>
      <c r="I4" s="27" t="n">
        <f aca="false">Assumptions!I62</f>
        <v>7</v>
      </c>
      <c r="J4" s="27" t="n">
        <f aca="false">Assumptions!J62</f>
        <v>8</v>
      </c>
      <c r="K4" s="27" t="n">
        <f aca="false">Assumptions!K62</f>
        <v>9</v>
      </c>
      <c r="L4" s="27" t="n">
        <f aca="false">Assumptions!L62</f>
        <v>10</v>
      </c>
      <c r="M4" s="27" t="n">
        <f aca="false">Assumptions!M62</f>
        <v>11</v>
      </c>
      <c r="N4" s="27" t="n">
        <f aca="false">Assumptions!N62</f>
        <v>12</v>
      </c>
    </row>
    <row r="5" customFormat="false" ht="15" hidden="false" customHeight="false" outlineLevel="0" collapsed="false">
      <c r="A5" s="11" t="s">
        <v>26</v>
      </c>
      <c r="B5" s="22" t="s">
        <v>137</v>
      </c>
      <c r="C5" s="13" t="str">
        <f aca="false">Assumptions!C63</f>
        <v>Oct 2026</v>
      </c>
      <c r="D5" s="13" t="str">
        <f aca="false">Assumptions!D63</f>
        <v>Nov 2026</v>
      </c>
      <c r="E5" s="13" t="str">
        <f aca="false">Assumptions!E63</f>
        <v>Dec 2026</v>
      </c>
      <c r="F5" s="13" t="str">
        <f aca="false">Assumptions!F63</f>
        <v>Jan 2027</v>
      </c>
      <c r="G5" s="13" t="str">
        <f aca="false">Assumptions!G63</f>
        <v>Feb 2027</v>
      </c>
      <c r="H5" s="13" t="str">
        <f aca="false">Assumptions!H63</f>
        <v>Mar 2027</v>
      </c>
      <c r="I5" s="13" t="str">
        <f aca="false">Assumptions!I63</f>
        <v>Apr 2027</v>
      </c>
      <c r="J5" s="13" t="str">
        <f aca="false">Assumptions!J63</f>
        <v>May 2027</v>
      </c>
      <c r="K5" s="13" t="str">
        <f aca="false">Assumptions!K63</f>
        <v>Jun 2027</v>
      </c>
      <c r="L5" s="13" t="str">
        <f aca="false">Assumptions!L63</f>
        <v>Jul 2027</v>
      </c>
      <c r="M5" s="13" t="str">
        <f aca="false">Assumptions!M63</f>
        <v>Aug 2027</v>
      </c>
      <c r="N5" s="13" t="str">
        <f aca="false">Assumptions!N63</f>
        <v>Sep 2027</v>
      </c>
    </row>
    <row r="6" customFormat="false" ht="15" hidden="false" customHeight="false" outlineLevel="0" collapsed="false">
      <c r="A6" s="5" t="s">
        <v>7</v>
      </c>
      <c r="B6" s="28" t="n">
        <f aca="false">SUM(C6:N6)</f>
        <v>122</v>
      </c>
      <c r="C6" s="29" t="n">
        <f aca="false">INDEX(Assumptions!$C$67:$N$69,$B$2,C$4)</f>
        <v>0</v>
      </c>
      <c r="D6" s="29" t="n">
        <f aca="false">INDEX(Assumptions!$C$67:$N$69,$B$2,D$4)</f>
        <v>2</v>
      </c>
      <c r="E6" s="29" t="n">
        <f aca="false">INDEX(Assumptions!$C$67:$N$69,$B$2,E$4)</f>
        <v>4</v>
      </c>
      <c r="F6" s="29" t="n">
        <f aca="false">INDEX(Assumptions!$C$67:$N$69,$B$2,F$4)</f>
        <v>5</v>
      </c>
      <c r="G6" s="29" t="n">
        <f aca="false">INDEX(Assumptions!$C$67:$N$69,$B$2,G$4)</f>
        <v>7</v>
      </c>
      <c r="H6" s="29" t="n">
        <f aca="false">INDEX(Assumptions!$C$67:$N$69,$B$2,H$4)</f>
        <v>9</v>
      </c>
      <c r="I6" s="29" t="n">
        <f aca="false">INDEX(Assumptions!$C$67:$N$69,$B$2,I$4)</f>
        <v>11</v>
      </c>
      <c r="J6" s="29" t="n">
        <f aca="false">INDEX(Assumptions!$C$67:$N$69,$B$2,J$4)</f>
        <v>13</v>
      </c>
      <c r="K6" s="29" t="n">
        <f aca="false">INDEX(Assumptions!$C$67:$N$69,$B$2,K$4)</f>
        <v>15</v>
      </c>
      <c r="L6" s="29" t="n">
        <f aca="false">INDEX(Assumptions!$C$67:$N$69,$B$2,L$4)</f>
        <v>17</v>
      </c>
      <c r="M6" s="29" t="n">
        <f aca="false">INDEX(Assumptions!$C$67:$N$69,$B$2,M$4)</f>
        <v>19</v>
      </c>
      <c r="N6" s="29" t="n">
        <f aca="false">INDEX(Assumptions!$C$67:$N$69,$B$2,N$4)</f>
        <v>20</v>
      </c>
    </row>
    <row r="7" customFormat="false" ht="15" hidden="false" customHeight="false" outlineLevel="0" collapsed="false">
      <c r="A7" s="5" t="s">
        <v>138</v>
      </c>
      <c r="C7" s="14" t="n">
        <f aca="false">IF(C$4&gt;=Assumptions!$B$7,Assumptions!$B$6,Assumptions!$B$5)</f>
        <v>24999</v>
      </c>
      <c r="D7" s="14" t="n">
        <f aca="false">IF(D$4&gt;=Assumptions!$B$7,Assumptions!$B$6,Assumptions!$B$5)</f>
        <v>24999</v>
      </c>
      <c r="E7" s="14" t="n">
        <f aca="false">IF(E$4&gt;=Assumptions!$B$7,Assumptions!$B$6,Assumptions!$B$5)</f>
        <v>24999</v>
      </c>
      <c r="F7" s="14" t="n">
        <f aca="false">IF(F$4&gt;=Assumptions!$B$7,Assumptions!$B$6,Assumptions!$B$5)</f>
        <v>24999</v>
      </c>
      <c r="G7" s="14" t="n">
        <f aca="false">IF(G$4&gt;=Assumptions!$B$7,Assumptions!$B$6,Assumptions!$B$5)</f>
        <v>24999</v>
      </c>
      <c r="H7" s="14" t="n">
        <f aca="false">IF(H$4&gt;=Assumptions!$B$7,Assumptions!$B$6,Assumptions!$B$5)</f>
        <v>24999</v>
      </c>
      <c r="I7" s="14" t="n">
        <f aca="false">IF(I$4&gt;=Assumptions!$B$7,Assumptions!$B$6,Assumptions!$B$5)</f>
        <v>24999</v>
      </c>
      <c r="J7" s="14" t="n">
        <f aca="false">IF(J$4&gt;=Assumptions!$B$7,Assumptions!$B$6,Assumptions!$B$5)</f>
        <v>24999</v>
      </c>
      <c r="K7" s="14" t="n">
        <f aca="false">IF(K$4&gt;=Assumptions!$B$7,Assumptions!$B$6,Assumptions!$B$5)</f>
        <v>24999</v>
      </c>
      <c r="L7" s="14" t="n">
        <f aca="false">IF(L$4&gt;=Assumptions!$B$7,Assumptions!$B$6,Assumptions!$B$5)</f>
        <v>24999</v>
      </c>
      <c r="M7" s="14" t="n">
        <f aca="false">IF(M$4&gt;=Assumptions!$B$7,Assumptions!$B$6,Assumptions!$B$5)</f>
        <v>24999</v>
      </c>
      <c r="N7" s="14" t="n">
        <f aca="false">IF(N$4&gt;=Assumptions!$B$7,Assumptions!$B$6,Assumptions!$B$5)</f>
        <v>24999</v>
      </c>
    </row>
    <row r="9" customFormat="false" ht="15" hidden="false" customHeight="false" outlineLevel="0" collapsed="false">
      <c r="A9" s="3" t="s">
        <v>139</v>
      </c>
      <c r="B9" s="3"/>
      <c r="C9" s="3"/>
      <c r="D9" s="3"/>
      <c r="E9" s="3"/>
      <c r="F9" s="3"/>
      <c r="G9" s="3"/>
      <c r="H9" s="3"/>
      <c r="I9" s="3"/>
      <c r="J9" s="3"/>
      <c r="K9" s="3"/>
      <c r="L9" s="3"/>
      <c r="M9" s="3"/>
      <c r="N9" s="3"/>
    </row>
    <row r="10" customFormat="false" ht="15" hidden="false" customHeight="false" outlineLevel="0" collapsed="false">
      <c r="A10" s="5" t="s">
        <v>140</v>
      </c>
      <c r="B10" s="30" t="n">
        <f aca="false">SUM(C10:N10)</f>
        <v>3049878</v>
      </c>
      <c r="C10" s="30" t="n">
        <f aca="false">C6*C7</f>
        <v>0</v>
      </c>
      <c r="D10" s="30" t="n">
        <f aca="false">D6*D7</f>
        <v>49998</v>
      </c>
      <c r="E10" s="30" t="n">
        <f aca="false">E6*E7</f>
        <v>99996</v>
      </c>
      <c r="F10" s="30" t="n">
        <f aca="false">F6*F7</f>
        <v>124995</v>
      </c>
      <c r="G10" s="30" t="n">
        <f aca="false">G6*G7</f>
        <v>174993</v>
      </c>
      <c r="H10" s="30" t="n">
        <f aca="false">H6*H7</f>
        <v>224991</v>
      </c>
      <c r="I10" s="30" t="n">
        <f aca="false">I6*I7</f>
        <v>274989</v>
      </c>
      <c r="J10" s="30" t="n">
        <f aca="false">J6*J7</f>
        <v>324987</v>
      </c>
      <c r="K10" s="30" t="n">
        <f aca="false">K6*K7</f>
        <v>374985</v>
      </c>
      <c r="L10" s="30" t="n">
        <f aca="false">L6*L7</f>
        <v>424983</v>
      </c>
      <c r="M10" s="30" t="n">
        <f aca="false">M6*M7</f>
        <v>474981</v>
      </c>
      <c r="N10" s="30" t="n">
        <f aca="false">N6*N7</f>
        <v>499980</v>
      </c>
    </row>
    <row r="11" customFormat="false" ht="15" hidden="false" customHeight="false" outlineLevel="0" collapsed="false">
      <c r="A11" s="5" t="s">
        <v>141</v>
      </c>
      <c r="B11" s="30" t="n">
        <f aca="false">SUM(C11:N11)</f>
        <v>54863.4</v>
      </c>
      <c r="C11" s="30" t="n">
        <f aca="false">C6*Assumptions!$B$8*Assumptions!$B$9</f>
        <v>0</v>
      </c>
      <c r="D11" s="30" t="n">
        <f aca="false">D6*Assumptions!$B$8*Assumptions!$B$9</f>
        <v>899.4</v>
      </c>
      <c r="E11" s="30" t="n">
        <f aca="false">E6*Assumptions!$B$8*Assumptions!$B$9</f>
        <v>1798.8</v>
      </c>
      <c r="F11" s="30" t="n">
        <f aca="false">F6*Assumptions!$B$8*Assumptions!$B$9</f>
        <v>2248.5</v>
      </c>
      <c r="G11" s="30" t="n">
        <f aca="false">G6*Assumptions!$B$8*Assumptions!$B$9</f>
        <v>3147.9</v>
      </c>
      <c r="H11" s="30" t="n">
        <f aca="false">H6*Assumptions!$B$8*Assumptions!$B$9</f>
        <v>4047.3</v>
      </c>
      <c r="I11" s="30" t="n">
        <f aca="false">I6*Assumptions!$B$8*Assumptions!$B$9</f>
        <v>4946.7</v>
      </c>
      <c r="J11" s="30" t="n">
        <f aca="false">J6*Assumptions!$B$8*Assumptions!$B$9</f>
        <v>5846.1</v>
      </c>
      <c r="K11" s="30" t="n">
        <f aca="false">K6*Assumptions!$B$8*Assumptions!$B$9</f>
        <v>6745.5</v>
      </c>
      <c r="L11" s="30" t="n">
        <f aca="false">L6*Assumptions!$B$8*Assumptions!$B$9</f>
        <v>7644.9</v>
      </c>
      <c r="M11" s="30" t="n">
        <f aca="false">M6*Assumptions!$B$8*Assumptions!$B$9</f>
        <v>8544.3</v>
      </c>
      <c r="N11" s="30" t="n">
        <f aca="false">N6*Assumptions!$B$8*Assumptions!$B$9</f>
        <v>8994</v>
      </c>
    </row>
    <row r="12" customFormat="false" ht="15" hidden="false" customHeight="false" outlineLevel="0" collapsed="false">
      <c r="A12" s="5" t="s">
        <v>9</v>
      </c>
      <c r="B12" s="30" t="n">
        <f aca="false">SUM(C12:N12)</f>
        <v>-49498.02</v>
      </c>
      <c r="C12" s="30" t="n">
        <f aca="true">IF(C$4&gt;Assumptions!$B$23,-OFFSET(C10,0,-Assumptions!$B$23)*Assumptions!$B$22,0)</f>
        <v>0</v>
      </c>
      <c r="D12" s="30" t="n">
        <f aca="true">IF(D$4&gt;Assumptions!$B$23,-OFFSET(D10,0,-Assumptions!$B$23)*Assumptions!$B$22,0)</f>
        <v>0</v>
      </c>
      <c r="E12" s="30" t="n">
        <f aca="true">IF(E$4&gt;Assumptions!$B$23,-OFFSET(E10,0,-Assumptions!$B$23)*Assumptions!$B$22,0)</f>
        <v>0</v>
      </c>
      <c r="F12" s="30" t="n">
        <f aca="true">IF(F$4&gt;Assumptions!$B$23,-OFFSET(F10,0,-Assumptions!$B$23)*Assumptions!$B$22,0)</f>
        <v>-0</v>
      </c>
      <c r="G12" s="30" t="n">
        <f aca="true">IF(G$4&gt;Assumptions!$B$23,-OFFSET(G10,0,-Assumptions!$B$23)*Assumptions!$B$22,0)</f>
        <v>-1499.94</v>
      </c>
      <c r="H12" s="30" t="n">
        <f aca="true">IF(H$4&gt;Assumptions!$B$23,-OFFSET(H10,0,-Assumptions!$B$23)*Assumptions!$B$22,0)</f>
        <v>-2999.88</v>
      </c>
      <c r="I12" s="30" t="n">
        <f aca="true">IF(I$4&gt;Assumptions!$B$23,-OFFSET(I10,0,-Assumptions!$B$23)*Assumptions!$B$22,0)</f>
        <v>-3749.85</v>
      </c>
      <c r="J12" s="30" t="n">
        <f aca="true">IF(J$4&gt;Assumptions!$B$23,-OFFSET(J10,0,-Assumptions!$B$23)*Assumptions!$B$22,0)</f>
        <v>-5249.79</v>
      </c>
      <c r="K12" s="30" t="n">
        <f aca="true">IF(K$4&gt;Assumptions!$B$23,-OFFSET(K10,0,-Assumptions!$B$23)*Assumptions!$B$22,0)</f>
        <v>-6749.73</v>
      </c>
      <c r="L12" s="30" t="n">
        <f aca="true">IF(L$4&gt;Assumptions!$B$23,-OFFSET(L10,0,-Assumptions!$B$23)*Assumptions!$B$22,0)</f>
        <v>-8249.67</v>
      </c>
      <c r="M12" s="30" t="n">
        <f aca="true">IF(M$4&gt;Assumptions!$B$23,-OFFSET(M10,0,-Assumptions!$B$23)*Assumptions!$B$22,0)</f>
        <v>-9749.61</v>
      </c>
      <c r="N12" s="30" t="n">
        <f aca="true">IF(N$4&gt;Assumptions!$B$23,-OFFSET(N10,0,-Assumptions!$B$23)*Assumptions!$B$22,0)</f>
        <v>-11249.55</v>
      </c>
    </row>
    <row r="13" customFormat="false" ht="15" hidden="false" customHeight="false" outlineLevel="0" collapsed="false">
      <c r="A13" s="8" t="s">
        <v>142</v>
      </c>
      <c r="B13" s="31" t="n">
        <f aca="false">SUM(C13:N13)</f>
        <v>3055243.38</v>
      </c>
      <c r="C13" s="31" t="n">
        <f aca="false">SUM(C10:C12)</f>
        <v>0</v>
      </c>
      <c r="D13" s="31" t="n">
        <f aca="false">SUM(D10:D12)</f>
        <v>50897.4</v>
      </c>
      <c r="E13" s="31" t="n">
        <f aca="false">SUM(E10:E12)</f>
        <v>101794.8</v>
      </c>
      <c r="F13" s="31" t="n">
        <f aca="false">SUM(F10:F12)</f>
        <v>127243.5</v>
      </c>
      <c r="G13" s="31" t="n">
        <f aca="false">SUM(G10:G12)</f>
        <v>176640.96</v>
      </c>
      <c r="H13" s="31" t="n">
        <f aca="false">SUM(H10:H12)</f>
        <v>226038.42</v>
      </c>
      <c r="I13" s="31" t="n">
        <f aca="false">SUM(I10:I12)</f>
        <v>276185.85</v>
      </c>
      <c r="J13" s="31" t="n">
        <f aca="false">SUM(J10:J12)</f>
        <v>325583.31</v>
      </c>
      <c r="K13" s="31" t="n">
        <f aca="false">SUM(K10:K12)</f>
        <v>374980.77</v>
      </c>
      <c r="L13" s="31" t="n">
        <f aca="false">SUM(L10:L12)</f>
        <v>424378.23</v>
      </c>
      <c r="M13" s="31" t="n">
        <f aca="false">SUM(M10:M12)</f>
        <v>473775.69</v>
      </c>
      <c r="N13" s="31" t="n">
        <f aca="false">SUM(N10:N12)</f>
        <v>497724.45</v>
      </c>
    </row>
    <row r="15" customFormat="false" ht="15" hidden="false" customHeight="false" outlineLevel="0" collapsed="false">
      <c r="A15" s="3" t="s">
        <v>143</v>
      </c>
      <c r="B15" s="3"/>
      <c r="C15" s="3"/>
      <c r="D15" s="3"/>
      <c r="E15" s="3"/>
      <c r="F15" s="3"/>
      <c r="G15" s="3"/>
      <c r="H15" s="3"/>
      <c r="I15" s="3"/>
      <c r="J15" s="3"/>
      <c r="K15" s="3"/>
      <c r="L15" s="3"/>
      <c r="M15" s="3"/>
      <c r="N15" s="3"/>
    </row>
    <row r="16" customFormat="false" ht="15" hidden="false" customHeight="false" outlineLevel="0" collapsed="false">
      <c r="A16" s="5" t="s">
        <v>144</v>
      </c>
      <c r="B16" s="30" t="n">
        <f aca="false">SUM(C16:N16)</f>
        <v>-967460</v>
      </c>
      <c r="C16" s="30" t="n">
        <f aca="false">-C6*(Assumptions!$B$13+Assumptions!$B$14)*(1-Assumptions!$B$15)</f>
        <v>-0</v>
      </c>
      <c r="D16" s="30" t="n">
        <f aca="false">-D6*(Assumptions!$B$13+Assumptions!$B$14)*(1-Assumptions!$B$15)</f>
        <v>-15860</v>
      </c>
      <c r="E16" s="30" t="n">
        <f aca="false">-E6*(Assumptions!$B$13+Assumptions!$B$14)*(1-Assumptions!$B$15)</f>
        <v>-31720</v>
      </c>
      <c r="F16" s="30" t="n">
        <f aca="false">-F6*(Assumptions!$B$13+Assumptions!$B$14)*(1-Assumptions!$B$15)</f>
        <v>-39650</v>
      </c>
      <c r="G16" s="30" t="n">
        <f aca="false">-G6*(Assumptions!$B$13+Assumptions!$B$14)*(1-Assumptions!$B$15)</f>
        <v>-55510</v>
      </c>
      <c r="H16" s="30" t="n">
        <f aca="false">-H6*(Assumptions!$B$13+Assumptions!$B$14)*(1-Assumptions!$B$15)</f>
        <v>-71370</v>
      </c>
      <c r="I16" s="30" t="n">
        <f aca="false">-I6*(Assumptions!$B$13+Assumptions!$B$14)*(1-Assumptions!$B$15)</f>
        <v>-87230</v>
      </c>
      <c r="J16" s="30" t="n">
        <f aca="false">-J6*(Assumptions!$B$13+Assumptions!$B$14)*(1-Assumptions!$B$15)</f>
        <v>-103090</v>
      </c>
      <c r="K16" s="30" t="n">
        <f aca="false">-K6*(Assumptions!$B$13+Assumptions!$B$14)*(1-Assumptions!$B$15)</f>
        <v>-118950</v>
      </c>
      <c r="L16" s="30" t="n">
        <f aca="false">-L6*(Assumptions!$B$13+Assumptions!$B$14)*(1-Assumptions!$B$15)</f>
        <v>-134810</v>
      </c>
      <c r="M16" s="30" t="n">
        <f aca="false">-M6*(Assumptions!$B$13+Assumptions!$B$14)*(1-Assumptions!$B$15)</f>
        <v>-150670</v>
      </c>
      <c r="N16" s="30" t="n">
        <f aca="false">-N6*(Assumptions!$B$13+Assumptions!$B$14)*(1-Assumptions!$B$15)</f>
        <v>-158600</v>
      </c>
    </row>
    <row r="17" customFormat="false" ht="15" hidden="false" customHeight="false" outlineLevel="0" collapsed="false">
      <c r="A17" s="5" t="s">
        <v>145</v>
      </c>
      <c r="B17" s="30" t="n">
        <f aca="false">SUM(C17:N17)</f>
        <v>-54900</v>
      </c>
      <c r="C17" s="30" t="n">
        <f aca="false">-C6*Assumptions!$B$16</f>
        <v>-0</v>
      </c>
      <c r="D17" s="30" t="n">
        <f aca="false">-D6*Assumptions!$B$16</f>
        <v>-900</v>
      </c>
      <c r="E17" s="30" t="n">
        <f aca="false">-E6*Assumptions!$B$16</f>
        <v>-1800</v>
      </c>
      <c r="F17" s="30" t="n">
        <f aca="false">-F6*Assumptions!$B$16</f>
        <v>-2250</v>
      </c>
      <c r="G17" s="30" t="n">
        <f aca="false">-G6*Assumptions!$B$16</f>
        <v>-3150</v>
      </c>
      <c r="H17" s="30" t="n">
        <f aca="false">-H6*Assumptions!$B$16</f>
        <v>-4050</v>
      </c>
      <c r="I17" s="30" t="n">
        <f aca="false">-I6*Assumptions!$B$16</f>
        <v>-4950</v>
      </c>
      <c r="J17" s="30" t="n">
        <f aca="false">-J6*Assumptions!$B$16</f>
        <v>-5850</v>
      </c>
      <c r="K17" s="30" t="n">
        <f aca="false">-K6*Assumptions!$B$16</f>
        <v>-6750</v>
      </c>
      <c r="L17" s="30" t="n">
        <f aca="false">-L6*Assumptions!$B$16</f>
        <v>-7650</v>
      </c>
      <c r="M17" s="30" t="n">
        <f aca="false">-M6*Assumptions!$B$16</f>
        <v>-8550</v>
      </c>
      <c r="N17" s="30" t="n">
        <f aca="false">-N6*Assumptions!$B$16</f>
        <v>-9000</v>
      </c>
    </row>
    <row r="18" customFormat="false" ht="15" hidden="false" customHeight="false" outlineLevel="0" collapsed="false">
      <c r="A18" s="5" t="s">
        <v>146</v>
      </c>
      <c r="B18" s="30" t="n">
        <f aca="false">SUM(C18:N18)</f>
        <v>-36600</v>
      </c>
      <c r="C18" s="30" t="n">
        <f aca="false">-C6*Assumptions!$B$17</f>
        <v>-0</v>
      </c>
      <c r="D18" s="30" t="n">
        <f aca="false">-D6*Assumptions!$B$17</f>
        <v>-600</v>
      </c>
      <c r="E18" s="30" t="n">
        <f aca="false">-E6*Assumptions!$B$17</f>
        <v>-1200</v>
      </c>
      <c r="F18" s="30" t="n">
        <f aca="false">-F6*Assumptions!$B$17</f>
        <v>-1500</v>
      </c>
      <c r="G18" s="30" t="n">
        <f aca="false">-G6*Assumptions!$B$17</f>
        <v>-2100</v>
      </c>
      <c r="H18" s="30" t="n">
        <f aca="false">-H6*Assumptions!$B$17</f>
        <v>-2700</v>
      </c>
      <c r="I18" s="30" t="n">
        <f aca="false">-I6*Assumptions!$B$17</f>
        <v>-3300</v>
      </c>
      <c r="J18" s="30" t="n">
        <f aca="false">-J6*Assumptions!$B$17</f>
        <v>-3900</v>
      </c>
      <c r="K18" s="30" t="n">
        <f aca="false">-K6*Assumptions!$B$17</f>
        <v>-4500</v>
      </c>
      <c r="L18" s="30" t="n">
        <f aca="false">-L6*Assumptions!$B$17</f>
        <v>-5100</v>
      </c>
      <c r="M18" s="30" t="n">
        <f aca="false">-M6*Assumptions!$B$17</f>
        <v>-5700</v>
      </c>
      <c r="N18" s="30" t="n">
        <f aca="false">-N6*Assumptions!$B$17</f>
        <v>-6000</v>
      </c>
    </row>
    <row r="19" customFormat="false" ht="15" hidden="false" customHeight="false" outlineLevel="0" collapsed="false">
      <c r="A19" s="5" t="s">
        <v>147</v>
      </c>
      <c r="B19" s="30" t="n">
        <f aca="false">SUM(C19:N19)</f>
        <v>-122000</v>
      </c>
      <c r="C19" s="30" t="n">
        <f aca="false">-C6*Assumptions!$B$18</f>
        <v>-0</v>
      </c>
      <c r="D19" s="30" t="n">
        <f aca="false">-D6*Assumptions!$B$18</f>
        <v>-2000</v>
      </c>
      <c r="E19" s="30" t="n">
        <f aca="false">-E6*Assumptions!$B$18</f>
        <v>-4000</v>
      </c>
      <c r="F19" s="30" t="n">
        <f aca="false">-F6*Assumptions!$B$18</f>
        <v>-5000</v>
      </c>
      <c r="G19" s="30" t="n">
        <f aca="false">-G6*Assumptions!$B$18</f>
        <v>-7000</v>
      </c>
      <c r="H19" s="30" t="n">
        <f aca="false">-H6*Assumptions!$B$18</f>
        <v>-9000</v>
      </c>
      <c r="I19" s="30" t="n">
        <f aca="false">-I6*Assumptions!$B$18</f>
        <v>-11000</v>
      </c>
      <c r="J19" s="30" t="n">
        <f aca="false">-J6*Assumptions!$B$18</f>
        <v>-13000</v>
      </c>
      <c r="K19" s="30" t="n">
        <f aca="false">-K6*Assumptions!$B$18</f>
        <v>-15000</v>
      </c>
      <c r="L19" s="30" t="n">
        <f aca="false">-L6*Assumptions!$B$18</f>
        <v>-17000</v>
      </c>
      <c r="M19" s="30" t="n">
        <f aca="false">-M6*Assumptions!$B$18</f>
        <v>-19000</v>
      </c>
      <c r="N19" s="30" t="n">
        <f aca="false">-N6*Assumptions!$B$18</f>
        <v>-20000</v>
      </c>
    </row>
    <row r="20" customFormat="false" ht="15" hidden="false" customHeight="false" outlineLevel="0" collapsed="false">
      <c r="A20" s="5" t="s">
        <v>148</v>
      </c>
      <c r="B20" s="30" t="n">
        <f aca="false">SUM(C20:N20)</f>
        <v>-18300</v>
      </c>
      <c r="C20" s="30" t="n">
        <f aca="false">-C6*Assumptions!$B$19</f>
        <v>-0</v>
      </c>
      <c r="D20" s="30" t="n">
        <f aca="false">-D6*Assumptions!$B$19</f>
        <v>-300</v>
      </c>
      <c r="E20" s="30" t="n">
        <f aca="false">-E6*Assumptions!$B$19</f>
        <v>-600</v>
      </c>
      <c r="F20" s="30" t="n">
        <f aca="false">-F6*Assumptions!$B$19</f>
        <v>-750</v>
      </c>
      <c r="G20" s="30" t="n">
        <f aca="false">-G6*Assumptions!$B$19</f>
        <v>-1050</v>
      </c>
      <c r="H20" s="30" t="n">
        <f aca="false">-H6*Assumptions!$B$19</f>
        <v>-1350</v>
      </c>
      <c r="I20" s="30" t="n">
        <f aca="false">-I6*Assumptions!$B$19</f>
        <v>-1650</v>
      </c>
      <c r="J20" s="30" t="n">
        <f aca="false">-J6*Assumptions!$B$19</f>
        <v>-1950</v>
      </c>
      <c r="K20" s="30" t="n">
        <f aca="false">-K6*Assumptions!$B$19</f>
        <v>-2250</v>
      </c>
      <c r="L20" s="30" t="n">
        <f aca="false">-L6*Assumptions!$B$19</f>
        <v>-2550</v>
      </c>
      <c r="M20" s="30" t="n">
        <f aca="false">-M6*Assumptions!$B$19</f>
        <v>-2850</v>
      </c>
      <c r="N20" s="30" t="n">
        <f aca="false">-N6*Assumptions!$B$19</f>
        <v>-3000</v>
      </c>
    </row>
    <row r="21" customFormat="false" ht="15" hidden="false" customHeight="false" outlineLevel="0" collapsed="false">
      <c r="A21" s="5" t="s">
        <v>40</v>
      </c>
      <c r="B21" s="30" t="n">
        <f aca="false">SUM(C21:N21)</f>
        <v>-25620</v>
      </c>
      <c r="C21" s="30" t="n">
        <f aca="false">-C6*Assumptions!$B$8*Assumptions!$B$10</f>
        <v>-0</v>
      </c>
      <c r="D21" s="30" t="n">
        <f aca="false">-D6*Assumptions!$B$8*Assumptions!$B$10</f>
        <v>-420</v>
      </c>
      <c r="E21" s="30" t="n">
        <f aca="false">-E6*Assumptions!$B$8*Assumptions!$B$10</f>
        <v>-840</v>
      </c>
      <c r="F21" s="30" t="n">
        <f aca="false">-F6*Assumptions!$B$8*Assumptions!$B$10</f>
        <v>-1050</v>
      </c>
      <c r="G21" s="30" t="n">
        <f aca="false">-G6*Assumptions!$B$8*Assumptions!$B$10</f>
        <v>-1470</v>
      </c>
      <c r="H21" s="30" t="n">
        <f aca="false">-H6*Assumptions!$B$8*Assumptions!$B$10</f>
        <v>-1890</v>
      </c>
      <c r="I21" s="30" t="n">
        <f aca="false">-I6*Assumptions!$B$8*Assumptions!$B$10</f>
        <v>-2310</v>
      </c>
      <c r="J21" s="30" t="n">
        <f aca="false">-J6*Assumptions!$B$8*Assumptions!$B$10</f>
        <v>-2730</v>
      </c>
      <c r="K21" s="30" t="n">
        <f aca="false">-K6*Assumptions!$B$8*Assumptions!$B$10</f>
        <v>-3150</v>
      </c>
      <c r="L21" s="30" t="n">
        <f aca="false">-L6*Assumptions!$B$8*Assumptions!$B$10</f>
        <v>-3570</v>
      </c>
      <c r="M21" s="30" t="n">
        <f aca="false">-M6*Assumptions!$B$8*Assumptions!$B$10</f>
        <v>-3990</v>
      </c>
      <c r="N21" s="30" t="n">
        <f aca="false">-N6*Assumptions!$B$8*Assumptions!$B$10</f>
        <v>-4200</v>
      </c>
    </row>
    <row r="22" customFormat="false" ht="15" hidden="false" customHeight="false" outlineLevel="0" collapsed="false">
      <c r="A22" s="5" t="s">
        <v>149</v>
      </c>
      <c r="B22" s="30" t="n">
        <f aca="false">SUM(C22:N22)</f>
        <v>-891</v>
      </c>
      <c r="C22" s="30" t="n">
        <f aca="true">IF(C$4&gt;Assumptions!$B$23,-OFFSET(C6,0,-Assumptions!$B$23)*Assumptions!$B$22*Assumptions!$B$24,0)</f>
        <v>0</v>
      </c>
      <c r="D22" s="30" t="n">
        <f aca="true">IF(D$4&gt;Assumptions!$B$23,-OFFSET(D6,0,-Assumptions!$B$23)*Assumptions!$B$22*Assumptions!$B$24,0)</f>
        <v>0</v>
      </c>
      <c r="E22" s="30" t="n">
        <f aca="true">IF(E$4&gt;Assumptions!$B$23,-OFFSET(E6,0,-Assumptions!$B$23)*Assumptions!$B$22*Assumptions!$B$24,0)</f>
        <v>0</v>
      </c>
      <c r="F22" s="30" t="n">
        <f aca="true">IF(F$4&gt;Assumptions!$B$23,-OFFSET(F6,0,-Assumptions!$B$23)*Assumptions!$B$22*Assumptions!$B$24,0)</f>
        <v>-0</v>
      </c>
      <c r="G22" s="30" t="n">
        <f aca="true">IF(G$4&gt;Assumptions!$B$23,-OFFSET(G6,0,-Assumptions!$B$23)*Assumptions!$B$22*Assumptions!$B$24,0)</f>
        <v>-27</v>
      </c>
      <c r="H22" s="30" t="n">
        <f aca="true">IF(H$4&gt;Assumptions!$B$23,-OFFSET(H6,0,-Assumptions!$B$23)*Assumptions!$B$22*Assumptions!$B$24,0)</f>
        <v>-54</v>
      </c>
      <c r="I22" s="30" t="n">
        <f aca="true">IF(I$4&gt;Assumptions!$B$23,-OFFSET(I6,0,-Assumptions!$B$23)*Assumptions!$B$22*Assumptions!$B$24,0)</f>
        <v>-67.5</v>
      </c>
      <c r="J22" s="30" t="n">
        <f aca="true">IF(J$4&gt;Assumptions!$B$23,-OFFSET(J6,0,-Assumptions!$B$23)*Assumptions!$B$22*Assumptions!$B$24,0)</f>
        <v>-94.5</v>
      </c>
      <c r="K22" s="30" t="n">
        <f aca="true">IF(K$4&gt;Assumptions!$B$23,-OFFSET(K6,0,-Assumptions!$B$23)*Assumptions!$B$22*Assumptions!$B$24,0)</f>
        <v>-121.5</v>
      </c>
      <c r="L22" s="30" t="n">
        <f aca="true">IF(L$4&gt;Assumptions!$B$23,-OFFSET(L6,0,-Assumptions!$B$23)*Assumptions!$B$22*Assumptions!$B$24,0)</f>
        <v>-148.5</v>
      </c>
      <c r="M22" s="30" t="n">
        <f aca="true">IF(M$4&gt;Assumptions!$B$23,-OFFSET(M6,0,-Assumptions!$B$23)*Assumptions!$B$22*Assumptions!$B$24,0)</f>
        <v>-175.5</v>
      </c>
      <c r="N22" s="30" t="n">
        <f aca="true">IF(N$4&gt;Assumptions!$B$23,-OFFSET(N6,0,-Assumptions!$B$23)*Assumptions!$B$22*Assumptions!$B$24,0)</f>
        <v>-202.5</v>
      </c>
    </row>
    <row r="23" customFormat="false" ht="15" hidden="false" customHeight="false" outlineLevel="0" collapsed="false">
      <c r="A23" s="5" t="s">
        <v>150</v>
      </c>
      <c r="B23" s="30" t="n">
        <f aca="false">SUM(C23:N23)</f>
        <v>-108665.949</v>
      </c>
      <c r="C23" s="30" t="n">
        <f aca="false">-(C10+C11)*Assumptions!$B$20</f>
        <v>-0</v>
      </c>
      <c r="D23" s="30" t="n">
        <f aca="false">-(D10+D11)*Assumptions!$B$20</f>
        <v>-1781.409</v>
      </c>
      <c r="E23" s="30" t="n">
        <f aca="false">-(E10+E11)*Assumptions!$B$20</f>
        <v>-3562.818</v>
      </c>
      <c r="F23" s="30" t="n">
        <f aca="false">-(F10+F11)*Assumptions!$B$20</f>
        <v>-4453.5225</v>
      </c>
      <c r="G23" s="30" t="n">
        <f aca="false">-(G10+G11)*Assumptions!$B$20</f>
        <v>-6234.9315</v>
      </c>
      <c r="H23" s="30" t="n">
        <f aca="false">-(H10+H11)*Assumptions!$B$20</f>
        <v>-8016.3405</v>
      </c>
      <c r="I23" s="30" t="n">
        <f aca="false">-(I10+I11)*Assumptions!$B$20</f>
        <v>-9797.7495</v>
      </c>
      <c r="J23" s="30" t="n">
        <f aca="false">-(J10+J11)*Assumptions!$B$20</f>
        <v>-11579.1585</v>
      </c>
      <c r="K23" s="30" t="n">
        <f aca="false">-(K10+K11)*Assumptions!$B$20</f>
        <v>-13360.5675</v>
      </c>
      <c r="L23" s="30" t="n">
        <f aca="false">-(L10+L11)*Assumptions!$B$20</f>
        <v>-15141.9765</v>
      </c>
      <c r="M23" s="30" t="n">
        <f aca="false">-(M10+M11)*Assumptions!$B$20</f>
        <v>-16923.3855</v>
      </c>
      <c r="N23" s="30" t="n">
        <f aca="false">-(N10+N11)*Assumptions!$B$20</f>
        <v>-17814.09</v>
      </c>
    </row>
    <row r="24" customFormat="false" ht="15" hidden="false" customHeight="false" outlineLevel="0" collapsed="false">
      <c r="A24" s="5" t="s">
        <v>151</v>
      </c>
      <c r="B24" s="30" t="n">
        <f aca="false">SUM(C24:N24)</f>
        <v>-30500</v>
      </c>
      <c r="C24" s="30" t="n">
        <f aca="false">-C6*Assumptions!$B$21</f>
        <v>-0</v>
      </c>
      <c r="D24" s="30" t="n">
        <f aca="false">-D6*Assumptions!$B$21</f>
        <v>-500</v>
      </c>
      <c r="E24" s="30" t="n">
        <f aca="false">-E6*Assumptions!$B$21</f>
        <v>-1000</v>
      </c>
      <c r="F24" s="30" t="n">
        <f aca="false">-F6*Assumptions!$B$21</f>
        <v>-1250</v>
      </c>
      <c r="G24" s="30" t="n">
        <f aca="false">-G6*Assumptions!$B$21</f>
        <v>-1750</v>
      </c>
      <c r="H24" s="30" t="n">
        <f aca="false">-H6*Assumptions!$B$21</f>
        <v>-2250</v>
      </c>
      <c r="I24" s="30" t="n">
        <f aca="false">-I6*Assumptions!$B$21</f>
        <v>-2750</v>
      </c>
      <c r="J24" s="30" t="n">
        <f aca="false">-J6*Assumptions!$B$21</f>
        <v>-3250</v>
      </c>
      <c r="K24" s="30" t="n">
        <f aca="false">-K6*Assumptions!$B$21</f>
        <v>-3750</v>
      </c>
      <c r="L24" s="30" t="n">
        <f aca="false">-L6*Assumptions!$B$21</f>
        <v>-4250</v>
      </c>
      <c r="M24" s="30" t="n">
        <f aca="false">-M6*Assumptions!$B$21</f>
        <v>-4750</v>
      </c>
      <c r="N24" s="30" t="n">
        <f aca="false">-N6*Assumptions!$B$21</f>
        <v>-5000</v>
      </c>
    </row>
    <row r="25" customFormat="false" ht="15" hidden="false" customHeight="false" outlineLevel="0" collapsed="false">
      <c r="A25" s="8" t="s">
        <v>152</v>
      </c>
      <c r="B25" s="31" t="n">
        <f aca="false">SUM(C25:N25)</f>
        <v>-1364936.949</v>
      </c>
      <c r="C25" s="31" t="n">
        <f aca="false">SUM(C16:C24)</f>
        <v>0</v>
      </c>
      <c r="D25" s="31" t="n">
        <f aca="false">SUM(D16:D24)</f>
        <v>-22361.409</v>
      </c>
      <c r="E25" s="31" t="n">
        <f aca="false">SUM(E16:E24)</f>
        <v>-44722.818</v>
      </c>
      <c r="F25" s="31" t="n">
        <f aca="false">SUM(F16:F24)</f>
        <v>-55903.5225</v>
      </c>
      <c r="G25" s="31" t="n">
        <f aca="false">SUM(G16:G24)</f>
        <v>-78291.9315</v>
      </c>
      <c r="H25" s="31" t="n">
        <f aca="false">SUM(H16:H24)</f>
        <v>-100680.3405</v>
      </c>
      <c r="I25" s="31" t="n">
        <f aca="false">SUM(I16:I24)</f>
        <v>-123055.2495</v>
      </c>
      <c r="J25" s="31" t="n">
        <f aca="false">SUM(J16:J24)</f>
        <v>-145443.6585</v>
      </c>
      <c r="K25" s="31" t="n">
        <f aca="false">SUM(K16:K24)</f>
        <v>-167832.0675</v>
      </c>
      <c r="L25" s="31" t="n">
        <f aca="false">SUM(L16:L24)</f>
        <v>-190220.4765</v>
      </c>
      <c r="M25" s="31" t="n">
        <f aca="false">SUM(M16:M24)</f>
        <v>-212608.8855</v>
      </c>
      <c r="N25" s="31" t="n">
        <f aca="false">SUM(N16:N24)</f>
        <v>-223816.59</v>
      </c>
    </row>
    <row r="27" customFormat="false" ht="15" hidden="false" customHeight="false" outlineLevel="0" collapsed="false">
      <c r="A27" s="8" t="s">
        <v>10</v>
      </c>
      <c r="B27" s="31" t="n">
        <f aca="false">SUM(C27:N27)</f>
        <v>1690306.431</v>
      </c>
      <c r="C27" s="31" t="n">
        <f aca="false">C13+C25</f>
        <v>0</v>
      </c>
      <c r="D27" s="31" t="n">
        <f aca="false">D13+D25</f>
        <v>28535.991</v>
      </c>
      <c r="E27" s="31" t="n">
        <f aca="false">E13+E25</f>
        <v>57071.982</v>
      </c>
      <c r="F27" s="31" t="n">
        <f aca="false">F13+F25</f>
        <v>71339.9775</v>
      </c>
      <c r="G27" s="31" t="n">
        <f aca="false">G13+G25</f>
        <v>98349.0285</v>
      </c>
      <c r="H27" s="31" t="n">
        <f aca="false">H13+H25</f>
        <v>125358.0795</v>
      </c>
      <c r="I27" s="31" t="n">
        <f aca="false">I13+I25</f>
        <v>153130.6005</v>
      </c>
      <c r="J27" s="31" t="n">
        <f aca="false">J13+J25</f>
        <v>180139.6515</v>
      </c>
      <c r="K27" s="31" t="n">
        <f aca="false">K13+K25</f>
        <v>207148.7025</v>
      </c>
      <c r="L27" s="31" t="n">
        <f aca="false">L13+L25</f>
        <v>234157.7535</v>
      </c>
      <c r="M27" s="31" t="n">
        <f aca="false">M13+M25</f>
        <v>261166.8045</v>
      </c>
      <c r="N27" s="31" t="n">
        <f aca="false">N13+N25</f>
        <v>273907.86</v>
      </c>
    </row>
    <row r="29" customFormat="false" ht="15" hidden="false" customHeight="false" outlineLevel="0" collapsed="false">
      <c r="A29" s="3" t="s">
        <v>153</v>
      </c>
      <c r="B29" s="3"/>
      <c r="C29" s="3"/>
      <c r="D29" s="3"/>
      <c r="E29" s="3"/>
      <c r="F29" s="3"/>
      <c r="G29" s="3"/>
      <c r="H29" s="3"/>
      <c r="I29" s="3"/>
      <c r="J29" s="3"/>
      <c r="K29" s="3"/>
      <c r="L29" s="3"/>
      <c r="M29" s="3"/>
      <c r="N29" s="3"/>
    </row>
    <row r="30" customFormat="false" ht="15" hidden="false" customHeight="false" outlineLevel="0" collapsed="false">
      <c r="A30" s="5" t="s">
        <v>12</v>
      </c>
      <c r="B30" s="30" t="n">
        <f aca="false">SUM(C30:N30)</f>
        <v>-108000</v>
      </c>
      <c r="C30" s="14" t="n">
        <f aca="false">-Assumptions!C64</f>
        <v>-0</v>
      </c>
      <c r="D30" s="14" t="n">
        <f aca="false">-Assumptions!D64</f>
        <v>-8000</v>
      </c>
      <c r="E30" s="14" t="n">
        <f aca="false">-Assumptions!E64</f>
        <v>-10000</v>
      </c>
      <c r="F30" s="14" t="n">
        <f aca="false">-Assumptions!F64</f>
        <v>-10000</v>
      </c>
      <c r="G30" s="14" t="n">
        <f aca="false">-Assumptions!G64</f>
        <v>-10000</v>
      </c>
      <c r="H30" s="14" t="n">
        <f aca="false">-Assumptions!H64</f>
        <v>-10000</v>
      </c>
      <c r="I30" s="14" t="n">
        <f aca="false">-Assumptions!I64</f>
        <v>-10000</v>
      </c>
      <c r="J30" s="14" t="n">
        <f aca="false">-Assumptions!J64</f>
        <v>-10000</v>
      </c>
      <c r="K30" s="14" t="n">
        <f aca="false">-Assumptions!K64</f>
        <v>-10000</v>
      </c>
      <c r="L30" s="14" t="n">
        <f aca="false">-Assumptions!L64</f>
        <v>-10000</v>
      </c>
      <c r="M30" s="14" t="n">
        <f aca="false">-Assumptions!M64</f>
        <v>-10000</v>
      </c>
      <c r="N30" s="14" t="n">
        <f aca="false">-Assumptions!N64</f>
        <v>-10000</v>
      </c>
    </row>
    <row r="31" customFormat="false" ht="15" hidden="false" customHeight="false" outlineLevel="0" collapsed="false">
      <c r="A31" s="5" t="s">
        <v>14</v>
      </c>
      <c r="B31" s="30" t="n">
        <f aca="false">SUM(C31:N31)</f>
        <v>-24500</v>
      </c>
      <c r="C31" s="30" t="n">
        <f aca="false">-SUMPRODUCT((Assumptions!$C$38:$C$43&lt;=C$4)*Assumptions!$B$38:$B$43)</f>
        <v>-850</v>
      </c>
      <c r="D31" s="30" t="n">
        <f aca="false">-SUMPRODUCT((Assumptions!$C$38:$C$43&lt;=D$4)*Assumptions!$B$38:$B$43)</f>
        <v>-2150</v>
      </c>
      <c r="E31" s="30" t="n">
        <f aca="false">-SUMPRODUCT((Assumptions!$C$38:$C$43&lt;=E$4)*Assumptions!$B$38:$B$43)</f>
        <v>-2150</v>
      </c>
      <c r="F31" s="30" t="n">
        <f aca="false">-SUMPRODUCT((Assumptions!$C$38:$C$43&lt;=F$4)*Assumptions!$B$38:$B$43)</f>
        <v>-2150</v>
      </c>
      <c r="G31" s="30" t="n">
        <f aca="false">-SUMPRODUCT((Assumptions!$C$38:$C$43&lt;=G$4)*Assumptions!$B$38:$B$43)</f>
        <v>-2150</v>
      </c>
      <c r="H31" s="30" t="n">
        <f aca="false">-SUMPRODUCT((Assumptions!$C$38:$C$43&lt;=H$4)*Assumptions!$B$38:$B$43)</f>
        <v>-2150</v>
      </c>
      <c r="I31" s="30" t="n">
        <f aca="false">-SUMPRODUCT((Assumptions!$C$38:$C$43&lt;=I$4)*Assumptions!$B$38:$B$43)</f>
        <v>-2150</v>
      </c>
      <c r="J31" s="30" t="n">
        <f aca="false">-SUMPRODUCT((Assumptions!$C$38:$C$43&lt;=J$4)*Assumptions!$B$38:$B$43)</f>
        <v>-2150</v>
      </c>
      <c r="K31" s="30" t="n">
        <f aca="false">-SUMPRODUCT((Assumptions!$C$38:$C$43&lt;=K$4)*Assumptions!$B$38:$B$43)</f>
        <v>-2150</v>
      </c>
      <c r="L31" s="30" t="n">
        <f aca="false">-SUMPRODUCT((Assumptions!$C$38:$C$43&lt;=L$4)*Assumptions!$B$38:$B$43)</f>
        <v>-2150</v>
      </c>
      <c r="M31" s="30" t="n">
        <f aca="false">-SUMPRODUCT((Assumptions!$C$38:$C$43&lt;=M$4)*Assumptions!$B$38:$B$43)</f>
        <v>-2150</v>
      </c>
      <c r="N31" s="30" t="n">
        <f aca="false">-SUMPRODUCT((Assumptions!$C$38:$C$43&lt;=N$4)*Assumptions!$B$38:$B$43)</f>
        <v>-2150</v>
      </c>
    </row>
    <row r="32" customFormat="false" ht="15" hidden="false" customHeight="false" outlineLevel="0" collapsed="false">
      <c r="A32" s="5" t="s">
        <v>15</v>
      </c>
      <c r="B32" s="30" t="n">
        <f aca="false">SUM(C32:N32)</f>
        <v>-20380</v>
      </c>
      <c r="C32" s="30" t="n">
        <f aca="false">-SUMIF(Assumptions!$C$48:$C$58,C$4,Assumptions!$B$48:$B$58)</f>
        <v>-10380</v>
      </c>
      <c r="D32" s="30" t="n">
        <f aca="false">-SUMIF(Assumptions!$C$48:$C$58,D$4,Assumptions!$B$48:$B$58)</f>
        <v>-5000</v>
      </c>
      <c r="E32" s="30" t="n">
        <f aca="false">-SUMIF(Assumptions!$C$48:$C$58,E$4,Assumptions!$B$48:$B$58)</f>
        <v>-5000</v>
      </c>
      <c r="F32" s="30" t="n">
        <f aca="false">-SUMIF(Assumptions!$C$48:$C$58,F$4,Assumptions!$B$48:$B$58)</f>
        <v>-0</v>
      </c>
      <c r="G32" s="30" t="n">
        <f aca="false">-SUMIF(Assumptions!$C$48:$C$58,G$4,Assumptions!$B$48:$B$58)</f>
        <v>-0</v>
      </c>
      <c r="H32" s="30" t="n">
        <f aca="false">-SUMIF(Assumptions!$C$48:$C$58,H$4,Assumptions!$B$48:$B$58)</f>
        <v>-0</v>
      </c>
      <c r="I32" s="30" t="n">
        <f aca="false">-SUMIF(Assumptions!$C$48:$C$58,I$4,Assumptions!$B$48:$B$58)</f>
        <v>-0</v>
      </c>
      <c r="J32" s="30" t="n">
        <f aca="false">-SUMIF(Assumptions!$C$48:$C$58,J$4,Assumptions!$B$48:$B$58)</f>
        <v>-0</v>
      </c>
      <c r="K32" s="30" t="n">
        <f aca="false">-SUMIF(Assumptions!$C$48:$C$58,K$4,Assumptions!$B$48:$B$58)</f>
        <v>-0</v>
      </c>
      <c r="L32" s="30" t="n">
        <f aca="false">-SUMIF(Assumptions!$C$48:$C$58,L$4,Assumptions!$B$48:$B$58)</f>
        <v>-0</v>
      </c>
      <c r="M32" s="30" t="n">
        <f aca="false">-SUMIF(Assumptions!$C$48:$C$58,M$4,Assumptions!$B$48:$B$58)</f>
        <v>-0</v>
      </c>
      <c r="N32" s="30" t="n">
        <f aca="false">-SUMIF(Assumptions!$C$48:$C$58,N$4,Assumptions!$B$48:$B$58)</f>
        <v>-0</v>
      </c>
    </row>
    <row r="33" customFormat="false" ht="15" hidden="false" customHeight="false" outlineLevel="0" collapsed="false">
      <c r="A33" s="5" t="s">
        <v>154</v>
      </c>
      <c r="B33" s="30" t="n">
        <f aca="false">SUM(C33:N33)</f>
        <v>-38702.8630434783</v>
      </c>
      <c r="C33" s="30" t="n">
        <f aca="false">IF(C$4&gt;=$B$46,-(C13+SUM(C16:C22))*Assumptions!$B$28/(1+Assumptions!$B$28),0)</f>
        <v>0</v>
      </c>
      <c r="D33" s="30" t="n">
        <f aca="false">IF(D$4&gt;=$B$46,-(D13+SUM(D16:D22))*Assumptions!$B$28/(1+Assumptions!$B$28),0)</f>
        <v>0</v>
      </c>
      <c r="E33" s="30" t="n">
        <f aca="false">IF(E$4&gt;=$B$46,-(E13+SUM(E16:E22))*Assumptions!$B$28/(1+Assumptions!$B$28),0)</f>
        <v>0</v>
      </c>
      <c r="F33" s="30" t="n">
        <f aca="false">IF(F$4&gt;=$B$46,-(F13+SUM(F16:F22))*Assumptions!$B$28/(1+Assumptions!$B$28),0)</f>
        <v>0</v>
      </c>
      <c r="G33" s="30" t="n">
        <f aca="false">IF(G$4&gt;=$B$46,-(G13+SUM(G16:G22))*Assumptions!$B$28/(1+Assumptions!$B$28),0)</f>
        <v>0</v>
      </c>
      <c r="H33" s="30" t="n">
        <f aca="false">IF(H$4&gt;=$B$46,-(H13+SUM(H16:H22))*Assumptions!$B$28/(1+Assumptions!$B$28),0)</f>
        <v>0</v>
      </c>
      <c r="I33" s="30" t="n">
        <f aca="false">IF(I$4&gt;=$B$46,-(I13+SUM(I16:I22))*Assumptions!$B$28/(1+Assumptions!$B$28),0)</f>
        <v>0</v>
      </c>
      <c r="J33" s="30" t="n">
        <f aca="false">IF(J$4&gt;=$B$46,-(J13+SUM(J16:J22))*Assumptions!$B$28/(1+Assumptions!$B$28),0)</f>
        <v>0</v>
      </c>
      <c r="K33" s="30" t="n">
        <f aca="false">IF(K$4&gt;=$B$46,-(K13+SUM(K16:K22))*Assumptions!$B$28/(1+Assumptions!$B$28),0)</f>
        <v>0</v>
      </c>
      <c r="L33" s="30" t="n">
        <f aca="false">IF(L$4&gt;=$B$46,-(L13+SUM(L16:L22))*Assumptions!$B$28/(1+Assumptions!$B$28),0)</f>
        <v>0</v>
      </c>
      <c r="M33" s="30" t="n">
        <f aca="false">IF(M$4&gt;=$B$46,-(M13+SUM(M16:M22))*Assumptions!$B$28/(1+Assumptions!$B$28),0)</f>
        <v>0</v>
      </c>
      <c r="N33" s="30" t="n">
        <f aca="false">IF(N$4&gt;=$B$46,-(N13+SUM(N16:N22))*Assumptions!$B$28/(1+Assumptions!$B$28),0)</f>
        <v>-38702.8630434783</v>
      </c>
    </row>
    <row r="34" customFormat="false" ht="15" hidden="false" customHeight="false" outlineLevel="0" collapsed="false">
      <c r="A34" s="8" t="s">
        <v>155</v>
      </c>
      <c r="B34" s="31" t="n">
        <f aca="false">SUM(C34:N34)</f>
        <v>-191582.863043478</v>
      </c>
      <c r="C34" s="31" t="n">
        <f aca="false">SUM(C30:C33)</f>
        <v>-11230</v>
      </c>
      <c r="D34" s="31" t="n">
        <f aca="false">SUM(D30:D33)</f>
        <v>-15150</v>
      </c>
      <c r="E34" s="31" t="n">
        <f aca="false">SUM(E30:E33)</f>
        <v>-17150</v>
      </c>
      <c r="F34" s="31" t="n">
        <f aca="false">SUM(F30:F33)</f>
        <v>-12150</v>
      </c>
      <c r="G34" s="31" t="n">
        <f aca="false">SUM(G30:G33)</f>
        <v>-12150</v>
      </c>
      <c r="H34" s="31" t="n">
        <f aca="false">SUM(H30:H33)</f>
        <v>-12150</v>
      </c>
      <c r="I34" s="31" t="n">
        <f aca="false">SUM(I30:I33)</f>
        <v>-12150</v>
      </c>
      <c r="J34" s="31" t="n">
        <f aca="false">SUM(J30:J33)</f>
        <v>-12150</v>
      </c>
      <c r="K34" s="31" t="n">
        <f aca="false">SUM(K30:K33)</f>
        <v>-12150</v>
      </c>
      <c r="L34" s="31" t="n">
        <f aca="false">SUM(L30:L33)</f>
        <v>-12150</v>
      </c>
      <c r="M34" s="31" t="n">
        <f aca="false">SUM(M30:M33)</f>
        <v>-12150</v>
      </c>
      <c r="N34" s="31" t="n">
        <f aca="false">SUM(N30:N33)</f>
        <v>-50852.8630434783</v>
      </c>
    </row>
    <row r="36" customFormat="false" ht="15" hidden="false" customHeight="false" outlineLevel="0" collapsed="false">
      <c r="A36" s="8" t="s">
        <v>156</v>
      </c>
      <c r="B36" s="31" t="n">
        <f aca="false">SUM(C36:N36)</f>
        <v>1498723.56795652</v>
      </c>
      <c r="C36" s="31" t="n">
        <f aca="false">C27+C34</f>
        <v>-11230</v>
      </c>
      <c r="D36" s="31" t="n">
        <f aca="false">D27+D34</f>
        <v>13385.991</v>
      </c>
      <c r="E36" s="31" t="n">
        <f aca="false">E27+E34</f>
        <v>39921.982</v>
      </c>
      <c r="F36" s="31" t="n">
        <f aca="false">F27+F34</f>
        <v>59189.9775</v>
      </c>
      <c r="G36" s="31" t="n">
        <f aca="false">G27+G34</f>
        <v>86199.0285</v>
      </c>
      <c r="H36" s="31" t="n">
        <f aca="false">H27+H34</f>
        <v>113208.0795</v>
      </c>
      <c r="I36" s="31" t="n">
        <f aca="false">I27+I34</f>
        <v>140980.6005</v>
      </c>
      <c r="J36" s="31" t="n">
        <f aca="false">J27+J34</f>
        <v>167989.6515</v>
      </c>
      <c r="K36" s="31" t="n">
        <f aca="false">K27+K34</f>
        <v>194998.7025</v>
      </c>
      <c r="L36" s="31" t="n">
        <f aca="false">L27+L34</f>
        <v>222007.7535</v>
      </c>
      <c r="M36" s="31" t="n">
        <f aca="false">M27+M34</f>
        <v>249016.8045</v>
      </c>
      <c r="N36" s="31" t="n">
        <f aca="false">N27+N34</f>
        <v>223054.996956522</v>
      </c>
    </row>
    <row r="37" customFormat="false" ht="15" hidden="false" customHeight="false" outlineLevel="0" collapsed="false">
      <c r="A37" s="5" t="s">
        <v>74</v>
      </c>
      <c r="B37" s="30" t="n">
        <f aca="false">SUM(C37:N37)</f>
        <v>40000</v>
      </c>
      <c r="C37" s="30" t="n">
        <f aca="false">IF(C$4=Assumptions!$B$34,Assumptions!$B$33,0)</f>
        <v>40000</v>
      </c>
      <c r="D37" s="30" t="n">
        <f aca="false">IF(D$4=Assumptions!$B$34,Assumptions!$B$33,0)</f>
        <v>0</v>
      </c>
      <c r="E37" s="30" t="n">
        <f aca="false">IF(E$4=Assumptions!$B$34,Assumptions!$B$33,0)</f>
        <v>0</v>
      </c>
      <c r="F37" s="30" t="n">
        <f aca="false">IF(F$4=Assumptions!$B$34,Assumptions!$B$33,0)</f>
        <v>0</v>
      </c>
      <c r="G37" s="30" t="n">
        <f aca="false">IF(G$4=Assumptions!$B$34,Assumptions!$B$33,0)</f>
        <v>0</v>
      </c>
      <c r="H37" s="30" t="n">
        <f aca="false">IF(H$4=Assumptions!$B$34,Assumptions!$B$33,0)</f>
        <v>0</v>
      </c>
      <c r="I37" s="30" t="n">
        <f aca="false">IF(I$4=Assumptions!$B$34,Assumptions!$B$33,0)</f>
        <v>0</v>
      </c>
      <c r="J37" s="30" t="n">
        <f aca="false">IF(J$4=Assumptions!$B$34,Assumptions!$B$33,0)</f>
        <v>0</v>
      </c>
      <c r="K37" s="30" t="n">
        <f aca="false">IF(K$4=Assumptions!$B$34,Assumptions!$B$33,0)</f>
        <v>0</v>
      </c>
      <c r="L37" s="30" t="n">
        <f aca="false">IF(L$4=Assumptions!$B$34,Assumptions!$B$33,0)</f>
        <v>0</v>
      </c>
      <c r="M37" s="30" t="n">
        <f aca="false">IF(M$4=Assumptions!$B$34,Assumptions!$B$33,0)</f>
        <v>0</v>
      </c>
      <c r="N37" s="30" t="n">
        <f aca="false">IF(N$4=Assumptions!$B$34,Assumptions!$B$33,0)</f>
        <v>0</v>
      </c>
    </row>
    <row r="38" customFormat="false" ht="15" hidden="false" customHeight="false" outlineLevel="0" collapsed="false">
      <c r="A38" s="5" t="s">
        <v>157</v>
      </c>
      <c r="C38" s="30" t="n">
        <f aca="false">0</f>
        <v>0</v>
      </c>
      <c r="D38" s="30" t="n">
        <f aca="false">C39</f>
        <v>28770</v>
      </c>
      <c r="E38" s="30" t="n">
        <f aca="false">D39</f>
        <v>42155.991</v>
      </c>
      <c r="F38" s="30" t="n">
        <f aca="false">E39</f>
        <v>82077.973</v>
      </c>
      <c r="G38" s="30" t="n">
        <f aca="false">F39</f>
        <v>141267.9505</v>
      </c>
      <c r="H38" s="30" t="n">
        <f aca="false">G39</f>
        <v>227466.979</v>
      </c>
      <c r="I38" s="30" t="n">
        <f aca="false">H39</f>
        <v>340675.0585</v>
      </c>
      <c r="J38" s="30" t="n">
        <f aca="false">I39</f>
        <v>481655.659</v>
      </c>
      <c r="K38" s="30" t="n">
        <f aca="false">J39</f>
        <v>649645.3105</v>
      </c>
      <c r="L38" s="30" t="n">
        <f aca="false">K39</f>
        <v>844644.013</v>
      </c>
      <c r="M38" s="30" t="n">
        <f aca="false">L39</f>
        <v>1066651.7665</v>
      </c>
      <c r="N38" s="30" t="n">
        <f aca="false">M39</f>
        <v>1315668.571</v>
      </c>
    </row>
    <row r="39" customFormat="false" ht="15" hidden="false" customHeight="false" outlineLevel="0" collapsed="false">
      <c r="A39" s="8" t="s">
        <v>158</v>
      </c>
      <c r="B39" s="32"/>
      <c r="C39" s="31" t="n">
        <f aca="false">C38+C36+C37</f>
        <v>28770</v>
      </c>
      <c r="D39" s="31" t="n">
        <f aca="false">D38+D36+D37</f>
        <v>42155.991</v>
      </c>
      <c r="E39" s="31" t="n">
        <f aca="false">E38+E36+E37</f>
        <v>82077.973</v>
      </c>
      <c r="F39" s="31" t="n">
        <f aca="false">F38+F36+F37</f>
        <v>141267.9505</v>
      </c>
      <c r="G39" s="31" t="n">
        <f aca="false">G38+G36+G37</f>
        <v>227466.979</v>
      </c>
      <c r="H39" s="31" t="n">
        <f aca="false">H38+H36+H37</f>
        <v>340675.0585</v>
      </c>
      <c r="I39" s="31" t="n">
        <f aca="false">I38+I36+I37</f>
        <v>481655.659</v>
      </c>
      <c r="J39" s="31" t="n">
        <f aca="false">J38+J36+J37</f>
        <v>649645.3105</v>
      </c>
      <c r="K39" s="31" t="n">
        <f aca="false">K38+K36+K37</f>
        <v>844644.013</v>
      </c>
      <c r="L39" s="31" t="n">
        <f aca="false">L38+L36+L37</f>
        <v>1066651.7665</v>
      </c>
      <c r="M39" s="31" t="n">
        <f aca="false">M38+M36+M37</f>
        <v>1315668.571</v>
      </c>
      <c r="N39" s="31" t="n">
        <f aca="false">N38+N36+N37</f>
        <v>1538723.56795652</v>
      </c>
    </row>
    <row r="41" customFormat="false" ht="15" hidden="false" customHeight="false" outlineLevel="0" collapsed="false">
      <c r="A41" s="3" t="s">
        <v>159</v>
      </c>
      <c r="B41" s="3"/>
      <c r="C41" s="3"/>
      <c r="D41" s="3"/>
      <c r="E41" s="3"/>
      <c r="F41" s="3"/>
      <c r="G41" s="3"/>
      <c r="H41" s="3"/>
      <c r="I41" s="3"/>
      <c r="J41" s="3"/>
      <c r="K41" s="3"/>
      <c r="L41" s="3"/>
      <c r="M41" s="3"/>
      <c r="N41" s="3"/>
    </row>
    <row r="42" customFormat="false" ht="15" hidden="false" customHeight="false" outlineLevel="0" collapsed="false">
      <c r="A42" s="5" t="s">
        <v>160</v>
      </c>
      <c r="C42" s="30" t="n">
        <f aca="false">C36</f>
        <v>-11230</v>
      </c>
      <c r="D42" s="30" t="n">
        <f aca="false">C42+D36</f>
        <v>2155.991</v>
      </c>
      <c r="E42" s="30" t="n">
        <f aca="false">D42+E36</f>
        <v>42077.973</v>
      </c>
      <c r="F42" s="30" t="n">
        <f aca="false">E42+F36</f>
        <v>101267.9505</v>
      </c>
      <c r="G42" s="30" t="n">
        <f aca="false">F42+G36</f>
        <v>187466.979</v>
      </c>
      <c r="H42" s="30" t="n">
        <f aca="false">G42+H36</f>
        <v>300675.0585</v>
      </c>
      <c r="I42" s="30" t="n">
        <f aca="false">H42+I36</f>
        <v>441655.659</v>
      </c>
      <c r="J42" s="30" t="n">
        <f aca="false">I42+J36</f>
        <v>609645.3105</v>
      </c>
      <c r="K42" s="30" t="n">
        <f aca="false">J42+K36</f>
        <v>804644.013</v>
      </c>
      <c r="L42" s="30" t="n">
        <f aca="false">K42+L36</f>
        <v>1026651.7665</v>
      </c>
      <c r="M42" s="30" t="n">
        <f aca="false">L42+M36</f>
        <v>1275668.571</v>
      </c>
      <c r="N42" s="30" t="n">
        <f aca="false">M42+N36</f>
        <v>1498723.56795652</v>
      </c>
    </row>
    <row r="43" customFormat="false" ht="15" hidden="false" customHeight="false" outlineLevel="0" collapsed="false">
      <c r="A43" s="5" t="s">
        <v>161</v>
      </c>
      <c r="C43" s="30" t="n">
        <f aca="false">C10+C11</f>
        <v>0</v>
      </c>
      <c r="D43" s="30" t="n">
        <f aca="false">C43+D10+D11</f>
        <v>50897.4</v>
      </c>
      <c r="E43" s="30" t="n">
        <f aca="false">D43+E10+E11</f>
        <v>152692.2</v>
      </c>
      <c r="F43" s="30" t="n">
        <f aca="false">E43+F10+F11</f>
        <v>279935.7</v>
      </c>
      <c r="G43" s="30" t="n">
        <f aca="false">F43+G10+G11</f>
        <v>458076.6</v>
      </c>
      <c r="H43" s="30" t="n">
        <f aca="false">G43+H10+H11</f>
        <v>687114.9</v>
      </c>
      <c r="I43" s="30" t="n">
        <f aca="false">H43+I10+I11</f>
        <v>967050.6</v>
      </c>
      <c r="J43" s="30" t="n">
        <f aca="false">I43+J10+J11</f>
        <v>1297883.7</v>
      </c>
      <c r="K43" s="30" t="n">
        <f aca="false">J43+K10+K11</f>
        <v>1679614.2</v>
      </c>
      <c r="L43" s="30" t="n">
        <f aca="false">K43+L10+L11</f>
        <v>2112242.1</v>
      </c>
      <c r="M43" s="30" t="n">
        <f aca="false">L43+M10+M11</f>
        <v>2595767.4</v>
      </c>
      <c r="N43" s="30" t="n">
        <f aca="false">M43+N10+N11</f>
        <v>3104741.4</v>
      </c>
    </row>
    <row r="44" customFormat="false" ht="15" hidden="false" customHeight="false" outlineLevel="0" collapsed="false">
      <c r="A44" s="5" t="s">
        <v>162</v>
      </c>
      <c r="C44" s="33" t="n">
        <f aca="false">IF(C43&gt;Assumptions!$B$29,1,0)</f>
        <v>0</v>
      </c>
      <c r="D44" s="33" t="n">
        <f aca="false">IF(D43&gt;Assumptions!$B$29,1,0)</f>
        <v>0</v>
      </c>
      <c r="E44" s="33" t="n">
        <f aca="false">IF(E43&gt;Assumptions!$B$29,1,0)</f>
        <v>0</v>
      </c>
      <c r="F44" s="33" t="n">
        <f aca="false">IF(F43&gt;Assumptions!$B$29,1,0)</f>
        <v>0</v>
      </c>
      <c r="G44" s="33" t="n">
        <f aca="false">IF(G43&gt;Assumptions!$B$29,1,0)</f>
        <v>0</v>
      </c>
      <c r="H44" s="33" t="n">
        <f aca="false">IF(H43&gt;Assumptions!$B$29,1,0)</f>
        <v>0</v>
      </c>
      <c r="I44" s="33" t="n">
        <f aca="false">IF(I43&gt;Assumptions!$B$29,1,0)</f>
        <v>0</v>
      </c>
      <c r="J44" s="33" t="n">
        <f aca="false">IF(J43&gt;Assumptions!$B$29,1,0)</f>
        <v>0</v>
      </c>
      <c r="K44" s="33" t="n">
        <f aca="false">IF(K43&gt;Assumptions!$B$29,1,0)</f>
        <v>0</v>
      </c>
      <c r="L44" s="33" t="n">
        <f aca="false">IF(L43&gt;Assumptions!$B$29,1,0)</f>
        <v>0</v>
      </c>
      <c r="M44" s="33" t="n">
        <f aca="false">IF(M43&gt;Assumptions!$B$29,1,0)</f>
        <v>1</v>
      </c>
      <c r="N44" s="33" t="n">
        <f aca="false">IF(N43&gt;Assumptions!$B$29,1,0)</f>
        <v>1</v>
      </c>
    </row>
    <row r="45" customFormat="false" ht="15" hidden="false" customHeight="false" outlineLevel="0" collapsed="false">
      <c r="A45" s="5" t="s">
        <v>163</v>
      </c>
      <c r="C45" s="33" t="n">
        <f aca="false">IF(C42&gt;=0,1,0)</f>
        <v>0</v>
      </c>
      <c r="D45" s="33" t="n">
        <f aca="false">IF(D42&gt;=0,1,0)</f>
        <v>1</v>
      </c>
      <c r="E45" s="33" t="n">
        <f aca="false">IF(E42&gt;=0,1,0)</f>
        <v>1</v>
      </c>
      <c r="F45" s="33" t="n">
        <f aca="false">IF(F42&gt;=0,1,0)</f>
        <v>1</v>
      </c>
      <c r="G45" s="33" t="n">
        <f aca="false">IF(G42&gt;=0,1,0)</f>
        <v>1</v>
      </c>
      <c r="H45" s="33" t="n">
        <f aca="false">IF(H42&gt;=0,1,0)</f>
        <v>1</v>
      </c>
      <c r="I45" s="33" t="n">
        <f aca="false">IF(I42&gt;=0,1,0)</f>
        <v>1</v>
      </c>
      <c r="J45" s="33" t="n">
        <f aca="false">IF(J42&gt;=0,1,0)</f>
        <v>1</v>
      </c>
      <c r="K45" s="33" t="n">
        <f aca="false">IF(K42&gt;=0,1,0)</f>
        <v>1</v>
      </c>
      <c r="L45" s="33" t="n">
        <f aca="false">IF(L42&gt;=0,1,0)</f>
        <v>1</v>
      </c>
      <c r="M45" s="33" t="n">
        <f aca="false">IF(M42&gt;=0,1,0)</f>
        <v>1</v>
      </c>
      <c r="N45" s="33" t="n">
        <f aca="false">IF(N42&gt;=0,1,0)</f>
        <v>1</v>
      </c>
    </row>
    <row r="46" customFormat="false" ht="15" hidden="false" customHeight="false" outlineLevel="0" collapsed="false">
      <c r="A46" s="5" t="s">
        <v>164</v>
      </c>
      <c r="B46" s="34" t="n">
        <f aca="false">MIN(Assumptions!B30,IFERROR(MATCH(1,C44:N44,0)+1,13))</f>
        <v>12</v>
      </c>
      <c r="C46" s="2" t="s">
        <v>165</v>
      </c>
    </row>
    <row r="48" customFormat="false" ht="15" hidden="false" customHeight="false" outlineLevel="0" collapsed="false">
      <c r="A48" s="2"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2026-10-06T09:31:32Z</dcterms:created>
  <dc:creator>openpyxl</dc:creator>
  <dc:description/>
  <dc:language>en-US</dc:language>
  <cp:lastModifiedBy/>
  <dcterms:modified xsi:type="dcterms:W3CDTF">2026-10-06T09:31:32Z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